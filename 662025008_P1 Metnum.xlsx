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673A4D3-8F33-47DB-90AD-3B8A9870B9F9}" xr6:coauthVersionLast="47" xr6:coauthVersionMax="47" xr10:uidLastSave="{00000000-0000-0000-0000-000000000000}"/>
  <bookViews>
    <workbookView xWindow="-120" yWindow="-120" windowWidth="21840" windowHeight="13140" xr2:uid="{D506D78C-E885-48D4-B972-520294E40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1" l="1"/>
  <c r="I42" i="1"/>
  <c r="I43" i="1"/>
  <c r="I44" i="1"/>
  <c r="K44" i="1" s="1"/>
  <c r="I45" i="1"/>
  <c r="I46" i="1"/>
  <c r="I40" i="1"/>
  <c r="H42" i="1"/>
  <c r="J42" i="1" s="1"/>
  <c r="H43" i="1"/>
  <c r="H44" i="1"/>
  <c r="H45" i="1"/>
  <c r="J45" i="1" s="1"/>
  <c r="H46" i="1"/>
  <c r="H41" i="1"/>
  <c r="J41" i="1" s="1"/>
  <c r="J43" i="1"/>
  <c r="J44" i="1"/>
  <c r="J46" i="1"/>
  <c r="K41" i="1"/>
  <c r="K42" i="1"/>
  <c r="K43" i="1"/>
  <c r="K45" i="1"/>
  <c r="K46" i="1"/>
  <c r="K40" i="1"/>
  <c r="F43" i="1"/>
  <c r="F44" i="1" s="1"/>
  <c r="G43" i="1"/>
  <c r="G42" i="1"/>
  <c r="F42" i="1"/>
  <c r="G41" i="1"/>
  <c r="G40" i="1"/>
  <c r="I34" i="1"/>
  <c r="I33" i="1"/>
  <c r="H34" i="1"/>
  <c r="E35" i="1"/>
  <c r="G35" i="1" s="1"/>
  <c r="F35" i="1"/>
  <c r="G34" i="1"/>
  <c r="F34" i="1"/>
  <c r="E34" i="1"/>
  <c r="G33" i="1"/>
  <c r="F33" i="1"/>
  <c r="G3" i="1"/>
  <c r="L3" i="1"/>
  <c r="H24" i="1"/>
  <c r="G24" i="1"/>
  <c r="H3" i="1"/>
  <c r="G44" i="1" l="1"/>
  <c r="F45" i="1" s="1"/>
  <c r="E36" i="1"/>
  <c r="I35" i="1"/>
  <c r="H35" i="1"/>
  <c r="F36" i="1"/>
  <c r="E37" i="1" s="1"/>
  <c r="G36" i="1"/>
  <c r="I3" i="1"/>
  <c r="J3" i="1" s="1"/>
  <c r="E4" i="1" s="1"/>
  <c r="I24" i="1"/>
  <c r="J24" i="1" s="1"/>
  <c r="K24" i="1" s="1"/>
  <c r="G45" i="1" l="1"/>
  <c r="F46" i="1"/>
  <c r="H37" i="1"/>
  <c r="I37" i="1"/>
  <c r="H36" i="1"/>
  <c r="I36" i="1"/>
  <c r="G37" i="1"/>
  <c r="F37" i="1"/>
  <c r="F4" i="1"/>
  <c r="G4" i="1" s="1"/>
  <c r="M24" i="1"/>
  <c r="F25" i="1"/>
  <c r="H25" i="1" s="1"/>
  <c r="E25" i="1"/>
  <c r="H4" i="1"/>
  <c r="G46" i="1" l="1"/>
  <c r="K4" i="1"/>
  <c r="I4" i="1"/>
  <c r="J4" i="1" s="1"/>
  <c r="L4" i="1"/>
  <c r="G25" i="1"/>
  <c r="I25" i="1" s="1"/>
  <c r="E5" i="1" l="1"/>
  <c r="H5" i="1" s="1"/>
  <c r="F5" i="1"/>
  <c r="M25" i="1"/>
  <c r="L25" i="1"/>
  <c r="J25" i="1"/>
  <c r="G5" i="1" l="1"/>
  <c r="K5" i="1" s="1"/>
  <c r="K25" i="1"/>
  <c r="F26" i="1"/>
  <c r="H26" i="1" s="1"/>
  <c r="E26" i="1"/>
  <c r="I5" i="1" l="1"/>
  <c r="J5" i="1" s="1"/>
  <c r="E6" i="1" s="1"/>
  <c r="L5" i="1"/>
  <c r="G26" i="1"/>
  <c r="I26" i="1" s="1"/>
  <c r="F6" i="1" l="1"/>
  <c r="G6" i="1" s="1"/>
  <c r="L26" i="1"/>
  <c r="M26" i="1"/>
  <c r="J26" i="1"/>
  <c r="H6" i="1"/>
  <c r="K26" i="1" l="1"/>
  <c r="F27" i="1"/>
  <c r="H27" i="1" s="1"/>
  <c r="E27" i="1"/>
  <c r="G27" i="1" s="1"/>
  <c r="I27" i="1" s="1"/>
  <c r="M27" i="1" s="1"/>
  <c r="I6" i="1"/>
  <c r="J6" i="1" s="1"/>
  <c r="K6" i="1"/>
  <c r="L6" i="1"/>
  <c r="L27" i="1"/>
  <c r="J27" i="1" l="1"/>
  <c r="K27" i="1" s="1"/>
  <c r="E7" i="1"/>
  <c r="F7" i="1"/>
  <c r="E28" i="1" l="1"/>
  <c r="F28" i="1"/>
  <c r="H28" i="1" s="1"/>
  <c r="H7" i="1"/>
  <c r="G7" i="1"/>
  <c r="G28" i="1"/>
  <c r="I28" i="1"/>
  <c r="I7" i="1" l="1"/>
  <c r="J7" i="1" s="1"/>
  <c r="K7" i="1"/>
  <c r="L7" i="1"/>
  <c r="J28" i="1"/>
  <c r="M28" i="1"/>
  <c r="L28" i="1"/>
  <c r="F8" i="1" l="1"/>
  <c r="E8" i="1"/>
  <c r="F29" i="1"/>
  <c r="H29" i="1" s="1"/>
  <c r="E29" i="1"/>
  <c r="K28" i="1"/>
  <c r="G8" i="1" l="1"/>
  <c r="H8" i="1"/>
  <c r="G29" i="1"/>
  <c r="I8" i="1" l="1"/>
  <c r="J8" i="1" s="1"/>
  <c r="K8" i="1"/>
  <c r="L8" i="1"/>
  <c r="I29" i="1"/>
  <c r="F9" i="1" l="1"/>
  <c r="E9" i="1"/>
  <c r="J29" i="1"/>
  <c r="M29" i="1"/>
  <c r="L29" i="1"/>
  <c r="H9" i="1" l="1"/>
  <c r="G9" i="1"/>
  <c r="F30" i="1"/>
  <c r="H30" i="1" s="1"/>
  <c r="E30" i="1"/>
  <c r="G30" i="1" s="1"/>
  <c r="K29" i="1"/>
  <c r="I9" i="1" l="1"/>
  <c r="J9" i="1" s="1"/>
  <c r="K9" i="1"/>
  <c r="L9" i="1"/>
  <c r="I30" i="1"/>
  <c r="E10" i="1" l="1"/>
  <c r="H10" i="1" s="1"/>
  <c r="F10" i="1"/>
  <c r="G10" i="1" s="1"/>
  <c r="J30" i="1"/>
  <c r="K30" i="1" s="1"/>
  <c r="M30" i="1"/>
  <c r="L30" i="1"/>
  <c r="I10" i="1" l="1"/>
  <c r="J10" i="1" s="1"/>
  <c r="K10" i="1"/>
  <c r="L10" i="1"/>
  <c r="E11" i="1" l="1"/>
  <c r="H11" i="1" s="1"/>
  <c r="F11" i="1"/>
  <c r="G11" i="1" l="1"/>
  <c r="I11" i="1" s="1"/>
  <c r="J11" i="1" s="1"/>
  <c r="L11" i="1" l="1"/>
  <c r="K11" i="1"/>
  <c r="E12" i="1"/>
  <c r="F12" i="1"/>
  <c r="G12" i="1" l="1"/>
  <c r="H12" i="1"/>
  <c r="I12" i="1" l="1"/>
  <c r="J12" i="1" s="1"/>
  <c r="K12" i="1"/>
  <c r="L12" i="1"/>
  <c r="F13" i="1" l="1"/>
  <c r="E13" i="1"/>
  <c r="H13" i="1" l="1"/>
  <c r="G13" i="1"/>
  <c r="K13" i="1" l="1"/>
  <c r="I13" i="1"/>
  <c r="J13" i="1" s="1"/>
  <c r="E14" i="1" s="1"/>
  <c r="L13" i="1"/>
  <c r="F14" i="1" l="1"/>
  <c r="G14" i="1" l="1"/>
  <c r="H14" i="1"/>
  <c r="K14" i="1" l="1"/>
  <c r="L14" i="1"/>
  <c r="I14" i="1"/>
  <c r="J14" i="1" s="1"/>
  <c r="E15" i="1" l="1"/>
  <c r="F15" i="1"/>
  <c r="H15" i="1" l="1"/>
  <c r="G15" i="1"/>
  <c r="I15" i="1" l="1"/>
  <c r="L15" i="1"/>
  <c r="K15" i="1"/>
  <c r="J15" i="1"/>
  <c r="F16" i="1" l="1"/>
  <c r="E16" i="1"/>
  <c r="G16" i="1" l="1"/>
  <c r="H16" i="1"/>
  <c r="K16" i="1" l="1"/>
  <c r="L16" i="1"/>
  <c r="I16" i="1"/>
  <c r="J16" i="1" s="1"/>
  <c r="E17" i="1" l="1"/>
  <c r="F17" i="1"/>
  <c r="H17" i="1" l="1"/>
  <c r="G17" i="1"/>
  <c r="I17" i="1" l="1"/>
  <c r="J17" i="1" s="1"/>
  <c r="K17" i="1"/>
  <c r="L17" i="1"/>
  <c r="F18" i="1" l="1"/>
  <c r="E18" i="1"/>
  <c r="G18" i="1" l="1"/>
  <c r="H18" i="1"/>
  <c r="I18" i="1" l="1"/>
  <c r="J18" i="1" s="1"/>
  <c r="K18" i="1"/>
  <c r="L18" i="1"/>
  <c r="F19" i="1" l="1"/>
  <c r="E19" i="1"/>
  <c r="H19" i="1" l="1"/>
  <c r="G19" i="1"/>
  <c r="K19" i="1" l="1"/>
  <c r="L19" i="1"/>
  <c r="I19" i="1"/>
  <c r="J19" i="1" s="1"/>
  <c r="E20" i="1" l="1"/>
  <c r="F20" i="1"/>
  <c r="H20" i="1" l="1"/>
  <c r="G20" i="1"/>
  <c r="I20" i="1" l="1"/>
  <c r="J20" i="1" s="1"/>
  <c r="K20" i="1"/>
  <c r="L20" i="1"/>
  <c r="E21" i="1" l="1"/>
  <c r="F21" i="1"/>
  <c r="G21" i="1" l="1"/>
  <c r="H21" i="1"/>
  <c r="I21" i="1" l="1"/>
  <c r="J21" i="1" s="1"/>
  <c r="K21" i="1"/>
  <c r="L21" i="1"/>
</calcChain>
</file>

<file path=xl/sharedStrings.xml><?xml version="1.0" encoding="utf-8"?>
<sst xmlns="http://schemas.openxmlformats.org/spreadsheetml/2006/main" count="58" uniqueCount="32">
  <si>
    <t>Metode Bagi 2</t>
  </si>
  <si>
    <t>f(x) = x^2-3</t>
  </si>
  <si>
    <t>a</t>
  </si>
  <si>
    <t xml:space="preserve">Interval </t>
  </si>
  <si>
    <t>(1, 2)</t>
  </si>
  <si>
    <t xml:space="preserve">5. Eksak </t>
  </si>
  <si>
    <t>b</t>
  </si>
  <si>
    <t>x_n</t>
  </si>
  <si>
    <t>f(a)</t>
  </si>
  <si>
    <t>f(x_n)</t>
  </si>
  <si>
    <t>f(a).f(x_n)</t>
  </si>
  <si>
    <t>G hampiran</t>
  </si>
  <si>
    <t>G Eksak</t>
  </si>
  <si>
    <t>Metode Posisi Palsu</t>
  </si>
  <si>
    <t>f(b)</t>
  </si>
  <si>
    <t>Metode NR</t>
  </si>
  <si>
    <t>f'(x_n)</t>
  </si>
  <si>
    <t>f'(x) = 2x</t>
  </si>
  <si>
    <t>x_0</t>
  </si>
  <si>
    <t>Metode Secant</t>
  </si>
  <si>
    <t>n-1</t>
  </si>
  <si>
    <t>n</t>
  </si>
  <si>
    <t>n+2</t>
  </si>
  <si>
    <t>n+3</t>
  </si>
  <si>
    <t>n+1</t>
  </si>
  <si>
    <t>n+4</t>
  </si>
  <si>
    <t>n+5</t>
  </si>
  <si>
    <t xml:space="preserve">Tugas </t>
  </si>
  <si>
    <t>1. Bikin akun github</t>
  </si>
  <si>
    <t>2. Buat reprositori (Metnum)</t>
  </si>
  <si>
    <t>3. Upload ini</t>
  </si>
  <si>
    <t>4. Format Nama Profesional 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</si>
</sst>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2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Bagi Dua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Sheet1!$D$3:$D$21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cat>
          <c:val>
            <c:numRef>
              <c:f>Sheet1!$G$3:$G$21</c:f>
              <c:numCache>
                <c:formatCode>General</c:formatCode>
                <c:ptCount val="19"/>
                <c:pt idx="0">
                  <c:v>1.5</c:v>
                </c:pt>
                <c:pt idx="1">
                  <c:v>1.75</c:v>
                </c:pt>
                <c:pt idx="2">
                  <c:v>1.625</c:v>
                </c:pt>
                <c:pt idx="3">
                  <c:v>1.6875</c:v>
                </c:pt>
                <c:pt idx="4">
                  <c:v>1.71875</c:v>
                </c:pt>
                <c:pt idx="5">
                  <c:v>1.734375</c:v>
                </c:pt>
                <c:pt idx="6">
                  <c:v>1.7265625</c:v>
                </c:pt>
                <c:pt idx="7">
                  <c:v>1.73046875</c:v>
                </c:pt>
                <c:pt idx="8">
                  <c:v>1.732421875</c:v>
                </c:pt>
                <c:pt idx="9">
                  <c:v>1.7314453125</c:v>
                </c:pt>
                <c:pt idx="10">
                  <c:v>1.73193359375</c:v>
                </c:pt>
                <c:pt idx="11">
                  <c:v>1.732177734375</c:v>
                </c:pt>
                <c:pt idx="12">
                  <c:v>1.7320556640625</c:v>
                </c:pt>
                <c:pt idx="13">
                  <c:v>1.73199462890625</c:v>
                </c:pt>
                <c:pt idx="14">
                  <c:v>1.732025146484375</c:v>
                </c:pt>
                <c:pt idx="15">
                  <c:v>1.7320404052734375</c:v>
                </c:pt>
                <c:pt idx="16">
                  <c:v>1.7320480346679688</c:v>
                </c:pt>
                <c:pt idx="17">
                  <c:v>1.7320518493652344</c:v>
                </c:pt>
                <c:pt idx="18">
                  <c:v>1.7320499420166016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BE-4D3D-B490-EBC2CF527D7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903695"/>
        <c:axId val="2090427647"/>
      </c:lineChart>
      <c:catAx>
        <c:axId val="43990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27647"/>
        <c:crosses val="autoZero"/>
        <c:auto val="1"/>
        <c:lblAlgn val="ctr"/>
        <c:lblOffset val="100"/>
        <c:noMultiLvlLbl val="0"/>
      </c:catAx>
      <c:valAx>
        <c:axId val="20904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x_n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Posisi</a:t>
            </a:r>
            <a:r>
              <a:rPr lang="en-ID" baseline="0"/>
              <a:t> Palsu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Sheet1!$D$24:$D$30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Sheet1!$I$24:$I$30</c:f>
              <c:numCache>
                <c:formatCode>General</c:formatCode>
                <c:ptCount val="7"/>
                <c:pt idx="0">
                  <c:v>1.6666666666666665</c:v>
                </c:pt>
                <c:pt idx="1">
                  <c:v>1.7272727272727273</c:v>
                </c:pt>
                <c:pt idx="2">
                  <c:v>1.7317073170731707</c:v>
                </c:pt>
                <c:pt idx="3">
                  <c:v>1.7320261437908497</c:v>
                </c:pt>
                <c:pt idx="4">
                  <c:v>1.7320490367775832</c:v>
                </c:pt>
                <c:pt idx="5">
                  <c:v>1.7320506804317222</c:v>
                </c:pt>
                <c:pt idx="6">
                  <c:v>1.73205079844084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59-406B-BCF5-9F704131D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28351"/>
        <c:axId val="431611455"/>
      </c:lineChart>
      <c:catAx>
        <c:axId val="50752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11455"/>
        <c:crosses val="autoZero"/>
        <c:auto val="1"/>
        <c:lblAlgn val="ctr"/>
        <c:lblOffset val="100"/>
        <c:noMultiLvlLbl val="0"/>
      </c:catAx>
      <c:valAx>
        <c:axId val="43161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x_n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2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</a:t>
            </a:r>
            <a:r>
              <a:rPr lang="en-ID" baseline="0"/>
              <a:t> NR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Sheet1!$D$33:$D$37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Sheet1!$E$33:$E$37</c:f>
              <c:numCache>
                <c:formatCode>General</c:formatCode>
                <c:ptCount val="5"/>
                <c:pt idx="0">
                  <c:v>1.5</c:v>
                </c:pt>
                <c:pt idx="1">
                  <c:v>1.75</c:v>
                </c:pt>
                <c:pt idx="2">
                  <c:v>1.7321428571428572</c:v>
                </c:pt>
                <c:pt idx="3">
                  <c:v>1.7320508100147276</c:v>
                </c:pt>
                <c:pt idx="4">
                  <c:v>1.7320508075688772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1B-41FD-AF67-8464FCAAF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641007"/>
        <c:axId val="254548639"/>
      </c:lineChart>
      <c:catAx>
        <c:axId val="55464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48639"/>
        <c:crosses val="autoZero"/>
        <c:auto val="1"/>
        <c:lblAlgn val="ctr"/>
        <c:lblOffset val="100"/>
        <c:noMultiLvlLbl val="0"/>
      </c:catAx>
      <c:valAx>
        <c:axId val="25454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x_n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4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Secant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Sheet1!$D$40:$D$46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Sheet1!$F$40:$F$46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1.6666666666666667</c:v>
                </c:pt>
                <c:pt idx="3">
                  <c:v>1.7272727272727273</c:v>
                </c:pt>
                <c:pt idx="4">
                  <c:v>1.7321428571428572</c:v>
                </c:pt>
                <c:pt idx="5">
                  <c:v>1.7320506804317222</c:v>
                </c:pt>
                <c:pt idx="6">
                  <c:v>1.732050807565499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87-4A3C-93AF-058A364E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065567"/>
        <c:axId val="254565439"/>
      </c:lineChart>
      <c:catAx>
        <c:axId val="41906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65439"/>
        <c:crosses val="autoZero"/>
        <c:auto val="1"/>
        <c:lblAlgn val="ctr"/>
        <c:lblOffset val="100"/>
        <c:noMultiLvlLbl val="0"/>
      </c:catAx>
      <c:valAx>
        <c:axId val="2545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x_n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0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2</xdr:row>
      <xdr:rowOff>14287</xdr:rowOff>
    </xdr:from>
    <xdr:to>
      <xdr:col>19</xdr:col>
      <xdr:colOff>590550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61104-1C8C-02E8-5B40-923E52F7D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9526</xdr:colOff>
      <xdr:row>22</xdr:row>
      <xdr:rowOff>0</xdr:rowOff>
    </xdr:from>
    <xdr:to>
      <xdr:col>18</xdr:col>
      <xdr:colOff>361950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2D519-103C-C045-677E-CEA11FB19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228600</xdr:colOff>
      <xdr:row>31</xdr:row>
      <xdr:rowOff>4762</xdr:rowOff>
    </xdr:from>
    <xdr:to>
      <xdr:col>20</xdr:col>
      <xdr:colOff>533400</xdr:colOff>
      <xdr:row>45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11BCD-6FEF-30C6-261B-E1AEA59E5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561975</xdr:colOff>
      <xdr:row>47</xdr:row>
      <xdr:rowOff>14287</xdr:rowOff>
    </xdr:from>
    <xdr:to>
      <xdr:col>16</xdr:col>
      <xdr:colOff>276225</xdr:colOff>
      <xdr:row>61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C3046F-96BE-7BBB-D1AE-25363B72F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2E31-B086-45A4-878E-15E46086611B}">
  <dimension ref="B2:M54"/>
  <sheetViews>
    <sheetView tabSelected="1" topLeftCell="A43" workbookViewId="0">
      <selection activeCell="B55" sqref="B55"/>
    </sheetView>
  </sheetViews>
  <sheetFormatPr defaultRowHeight="15" x14ac:dyDescent="0.25"/>
  <cols>
    <col min="5" max="5" width="8.140625" customWidth="1"/>
    <col min="8" max="8" width="10.7109375" customWidth="1"/>
    <col min="9" max="9" width="8.85546875" customWidth="1"/>
    <col min="10" max="10" width="10.5703125" customWidth="1"/>
    <col min="11" max="11" width="11.28515625" customWidth="1"/>
    <col min="12" max="12" width="10.28515625" customWidth="1"/>
  </cols>
  <sheetData>
    <row r="2" spans="2:12" x14ac:dyDescent="0.25">
      <c r="B2" s="4" t="s">
        <v>0</v>
      </c>
      <c r="C2" s="4"/>
      <c r="E2" s="2" t="s">
        <v>2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2:12" x14ac:dyDescent="0.25">
      <c r="B3" t="s">
        <v>1</v>
      </c>
      <c r="D3">
        <v>0</v>
      </c>
      <c r="E3">
        <v>1</v>
      </c>
      <c r="F3">
        <v>2</v>
      </c>
      <c r="G3">
        <f>(E3+F3)/2</f>
        <v>1.5</v>
      </c>
      <c r="H3">
        <f>(E3^2)-3</f>
        <v>-2</v>
      </c>
      <c r="I3">
        <f>(G3^2)-3</f>
        <v>-0.75</v>
      </c>
      <c r="J3">
        <f>H3*I3</f>
        <v>1.5</v>
      </c>
      <c r="L3">
        <f>ABS(($C$5-G3)/$C$5)</f>
        <v>0.13394919168591224</v>
      </c>
    </row>
    <row r="4" spans="2:12" x14ac:dyDescent="0.25">
      <c r="B4" s="5" t="s">
        <v>3</v>
      </c>
      <c r="C4" s="5" t="s">
        <v>4</v>
      </c>
      <c r="D4">
        <v>1</v>
      </c>
      <c r="E4">
        <f>IF(J3&lt;0,E3,G3)</f>
        <v>1.5</v>
      </c>
      <c r="F4">
        <f>IF(J3&gt;0,F3,G3)</f>
        <v>2</v>
      </c>
      <c r="G4">
        <f>(E4+F4)/2</f>
        <v>1.75</v>
      </c>
      <c r="H4">
        <f>(E4^2)-3</f>
        <v>-0.75</v>
      </c>
      <c r="I4">
        <f>(G4^2)-3</f>
        <v>6.25E-2</v>
      </c>
      <c r="J4">
        <f>H4*I4</f>
        <v>-4.6875E-2</v>
      </c>
      <c r="K4">
        <f>ABS((G4-G3)/G4)</f>
        <v>0.14285714285714285</v>
      </c>
      <c r="L4">
        <f t="shared" ref="L4:L14" si="0">ABS(($C$5-G4)/$C$5)</f>
        <v>1.0392609699769063E-2</v>
      </c>
    </row>
    <row r="5" spans="2:12" x14ac:dyDescent="0.25">
      <c r="B5" s="5" t="s">
        <v>5</v>
      </c>
      <c r="C5" s="6">
        <v>1.732</v>
      </c>
      <c r="D5">
        <v>2</v>
      </c>
      <c r="E5">
        <f>IF(J4&lt;0,E4,G4)</f>
        <v>1.5</v>
      </c>
      <c r="F5">
        <f t="shared" ref="F5:F14" si="1">IF(J4&gt;0,F4,G4)</f>
        <v>1.75</v>
      </c>
      <c r="G5">
        <f t="shared" ref="G5:G14" si="2">(E5+F5)/2</f>
        <v>1.625</v>
      </c>
      <c r="H5">
        <f t="shared" ref="H5:H14" si="3">(E5^2)-3</f>
        <v>-0.75</v>
      </c>
      <c r="I5">
        <f t="shared" ref="I5:I14" si="4">(G5^2)-3</f>
        <v>-0.359375</v>
      </c>
      <c r="J5">
        <f t="shared" ref="J5:J14" si="5">H5*I5</f>
        <v>0.26953125</v>
      </c>
      <c r="K5">
        <f t="shared" ref="K5:K14" si="6">ABS((G5-G4)/G5)</f>
        <v>7.6923076923076927E-2</v>
      </c>
      <c r="L5">
        <f t="shared" si="0"/>
        <v>6.1778290993071583E-2</v>
      </c>
    </row>
    <row r="6" spans="2:12" x14ac:dyDescent="0.25">
      <c r="D6">
        <v>3</v>
      </c>
      <c r="E6">
        <f t="shared" ref="E6:E14" si="7">IF(J5&lt;0,E5,G5)</f>
        <v>1.625</v>
      </c>
      <c r="F6">
        <f t="shared" si="1"/>
        <v>1.75</v>
      </c>
      <c r="G6">
        <f t="shared" si="2"/>
        <v>1.6875</v>
      </c>
      <c r="H6">
        <f t="shared" si="3"/>
        <v>-0.359375</v>
      </c>
      <c r="I6">
        <f t="shared" si="4"/>
        <v>-0.15234375</v>
      </c>
      <c r="J6">
        <f t="shared" si="5"/>
        <v>5.474853515625E-2</v>
      </c>
      <c r="K6">
        <f t="shared" si="6"/>
        <v>3.7037037037037035E-2</v>
      </c>
      <c r="L6">
        <f t="shared" si="0"/>
        <v>2.5692840646651262E-2</v>
      </c>
    </row>
    <row r="7" spans="2:12" x14ac:dyDescent="0.25">
      <c r="D7">
        <v>4</v>
      </c>
      <c r="E7">
        <f t="shared" si="7"/>
        <v>1.6875</v>
      </c>
      <c r="F7">
        <f t="shared" si="1"/>
        <v>1.75</v>
      </c>
      <c r="G7">
        <f t="shared" si="2"/>
        <v>1.71875</v>
      </c>
      <c r="H7">
        <f t="shared" si="3"/>
        <v>-0.15234375</v>
      </c>
      <c r="I7">
        <f t="shared" si="4"/>
        <v>-4.58984375E-2</v>
      </c>
      <c r="J7">
        <f t="shared" si="5"/>
        <v>6.992340087890625E-3</v>
      </c>
      <c r="K7">
        <f t="shared" si="6"/>
        <v>1.8181818181818181E-2</v>
      </c>
      <c r="L7">
        <f t="shared" si="0"/>
        <v>7.6501154734410996E-3</v>
      </c>
    </row>
    <row r="8" spans="2:12" x14ac:dyDescent="0.25">
      <c r="D8">
        <v>5</v>
      </c>
      <c r="E8">
        <f t="shared" si="7"/>
        <v>1.71875</v>
      </c>
      <c r="F8">
        <f t="shared" si="1"/>
        <v>1.75</v>
      </c>
      <c r="G8">
        <f t="shared" si="2"/>
        <v>1.734375</v>
      </c>
      <c r="H8">
        <f t="shared" si="3"/>
        <v>-4.58984375E-2</v>
      </c>
      <c r="I8">
        <f t="shared" si="4"/>
        <v>8.056640625E-3</v>
      </c>
      <c r="J8">
        <f t="shared" si="5"/>
        <v>-3.6978721618652344E-4</v>
      </c>
      <c r="K8">
        <f t="shared" si="6"/>
        <v>9.0090090090090089E-3</v>
      </c>
      <c r="L8">
        <f t="shared" si="0"/>
        <v>1.3712471131639816E-3</v>
      </c>
    </row>
    <row r="9" spans="2:12" x14ac:dyDescent="0.25">
      <c r="D9">
        <v>6</v>
      </c>
      <c r="E9">
        <f t="shared" si="7"/>
        <v>1.71875</v>
      </c>
      <c r="F9">
        <f t="shared" si="1"/>
        <v>1.734375</v>
      </c>
      <c r="G9">
        <f t="shared" si="2"/>
        <v>1.7265625</v>
      </c>
      <c r="H9">
        <f t="shared" si="3"/>
        <v>-4.58984375E-2</v>
      </c>
      <c r="I9">
        <f t="shared" si="4"/>
        <v>-1.898193359375E-2</v>
      </c>
      <c r="J9">
        <f t="shared" si="5"/>
        <v>8.7124109268188477E-4</v>
      </c>
      <c r="K9">
        <f t="shared" si="6"/>
        <v>4.5248868778280547E-3</v>
      </c>
      <c r="L9">
        <f t="shared" si="0"/>
        <v>3.139434180138559E-3</v>
      </c>
    </row>
    <row r="10" spans="2:12" x14ac:dyDescent="0.25">
      <c r="D10">
        <v>7</v>
      </c>
      <c r="E10">
        <f t="shared" si="7"/>
        <v>1.7265625</v>
      </c>
      <c r="F10">
        <f t="shared" si="1"/>
        <v>1.734375</v>
      </c>
      <c r="G10">
        <f t="shared" si="2"/>
        <v>1.73046875</v>
      </c>
      <c r="H10">
        <f t="shared" si="3"/>
        <v>-1.898193359375E-2</v>
      </c>
      <c r="I10">
        <f t="shared" si="4"/>
        <v>-5.4779052734375E-3</v>
      </c>
      <c r="J10">
        <f t="shared" si="5"/>
        <v>1.0398123413324356E-4</v>
      </c>
      <c r="K10">
        <f t="shared" si="6"/>
        <v>2.257336343115124E-3</v>
      </c>
      <c r="L10">
        <f t="shared" si="0"/>
        <v>8.8409353348728871E-4</v>
      </c>
    </row>
    <row r="11" spans="2:12" x14ac:dyDescent="0.25">
      <c r="D11">
        <v>8</v>
      </c>
      <c r="E11">
        <f t="shared" si="7"/>
        <v>1.73046875</v>
      </c>
      <c r="F11">
        <f t="shared" si="1"/>
        <v>1.734375</v>
      </c>
      <c r="G11">
        <f t="shared" si="2"/>
        <v>1.732421875</v>
      </c>
      <c r="H11">
        <f t="shared" si="3"/>
        <v>-5.4779052734375E-3</v>
      </c>
      <c r="I11">
        <f t="shared" si="4"/>
        <v>1.285552978515625E-3</v>
      </c>
      <c r="J11">
        <f t="shared" si="5"/>
        <v>-7.0421374402940273E-6</v>
      </c>
      <c r="K11">
        <f t="shared" si="6"/>
        <v>1.1273957158962795E-3</v>
      </c>
      <c r="L11">
        <f t="shared" si="0"/>
        <v>2.4357678983834641E-4</v>
      </c>
    </row>
    <row r="12" spans="2:12" x14ac:dyDescent="0.25">
      <c r="D12">
        <v>9</v>
      </c>
      <c r="E12">
        <f t="shared" si="7"/>
        <v>1.73046875</v>
      </c>
      <c r="F12">
        <f t="shared" si="1"/>
        <v>1.732421875</v>
      </c>
      <c r="G12">
        <f t="shared" si="2"/>
        <v>1.7314453125</v>
      </c>
      <c r="H12">
        <f t="shared" si="3"/>
        <v>-5.4779052734375E-3</v>
      </c>
      <c r="I12">
        <f t="shared" si="4"/>
        <v>-2.0971298217773438E-3</v>
      </c>
      <c r="J12">
        <f t="shared" si="5"/>
        <v>1.1487878509797156E-5</v>
      </c>
      <c r="K12">
        <f t="shared" si="6"/>
        <v>5.6401579244218843E-4</v>
      </c>
      <c r="L12">
        <f t="shared" si="0"/>
        <v>3.2025837182447114E-4</v>
      </c>
    </row>
    <row r="13" spans="2:12" x14ac:dyDescent="0.25">
      <c r="D13">
        <v>10</v>
      </c>
      <c r="E13">
        <f t="shared" si="7"/>
        <v>1.7314453125</v>
      </c>
      <c r="F13">
        <f t="shared" si="1"/>
        <v>1.732421875</v>
      </c>
      <c r="G13">
        <f t="shared" si="2"/>
        <v>1.73193359375</v>
      </c>
      <c r="H13">
        <f t="shared" si="3"/>
        <v>-2.0971298217773438E-3</v>
      </c>
      <c r="I13">
        <f t="shared" si="4"/>
        <v>-4.0602684020996094E-4</v>
      </c>
      <c r="J13">
        <f t="shared" si="5"/>
        <v>8.5149099504633341E-7</v>
      </c>
      <c r="K13">
        <f t="shared" si="6"/>
        <v>2.8192839018889202E-4</v>
      </c>
      <c r="L13">
        <f t="shared" si="0"/>
        <v>3.8340790993062366E-5</v>
      </c>
    </row>
    <row r="14" spans="2:12" x14ac:dyDescent="0.25">
      <c r="D14">
        <v>11</v>
      </c>
      <c r="E14">
        <f t="shared" si="7"/>
        <v>1.73193359375</v>
      </c>
      <c r="F14">
        <f t="shared" si="1"/>
        <v>1.732421875</v>
      </c>
      <c r="G14">
        <f t="shared" si="2"/>
        <v>1.732177734375</v>
      </c>
      <c r="H14">
        <f t="shared" si="3"/>
        <v>-4.0602684020996094E-4</v>
      </c>
      <c r="I14">
        <f t="shared" si="4"/>
        <v>4.3970346450805664E-4</v>
      </c>
      <c r="J14">
        <f t="shared" si="5"/>
        <v>-1.7853140832357894E-7</v>
      </c>
      <c r="K14">
        <f t="shared" si="6"/>
        <v>1.4094432699083862E-4</v>
      </c>
      <c r="L14">
        <f t="shared" si="0"/>
        <v>1.0261799942264203E-4</v>
      </c>
    </row>
    <row r="15" spans="2:12" x14ac:dyDescent="0.25">
      <c r="D15">
        <v>12</v>
      </c>
      <c r="E15">
        <f t="shared" ref="E15:E21" si="8">IF(J14&lt;0,E14,G14)</f>
        <v>1.73193359375</v>
      </c>
      <c r="F15">
        <f t="shared" ref="F15:F21" si="9">IF(J14&gt;0,F14,G14)</f>
        <v>1.732177734375</v>
      </c>
      <c r="G15">
        <f t="shared" ref="G15:G21" si="10">(E15+F15)/2</f>
        <v>1.7320556640625</v>
      </c>
      <c r="H15">
        <f t="shared" ref="H15:H21" si="11">(E15^2)-3</f>
        <v>-4.0602684020996094E-4</v>
      </c>
      <c r="I15">
        <f t="shared" ref="I15:I21" si="12">(G15^2)-3</f>
        <v>1.6823410987854004E-5</v>
      </c>
      <c r="J15">
        <f t="shared" ref="J15:J21" si="13">H15*I15</f>
        <v>-6.8307564049518987E-9</v>
      </c>
      <c r="K15">
        <f t="shared" ref="K15:K21" si="14">ABS((G15-G14)/G15)</f>
        <v>7.0477130171259429E-5</v>
      </c>
      <c r="L15">
        <f t="shared" ref="L15:L21" si="15">ABS(($C$5-G15)/$C$5)</f>
        <v>3.2138604214789831E-5</v>
      </c>
    </row>
    <row r="16" spans="2:12" x14ac:dyDescent="0.25">
      <c r="D16">
        <v>13</v>
      </c>
      <c r="E16">
        <f t="shared" si="8"/>
        <v>1.73193359375</v>
      </c>
      <c r="F16">
        <f t="shared" si="9"/>
        <v>1.7320556640625</v>
      </c>
      <c r="G16">
        <f t="shared" si="10"/>
        <v>1.73199462890625</v>
      </c>
      <c r="H16">
        <f t="shared" si="11"/>
        <v>-4.0602684020996094E-4</v>
      </c>
      <c r="I16">
        <f t="shared" si="12"/>
        <v>-1.9460543990135193E-4</v>
      </c>
      <c r="J16">
        <f t="shared" si="13"/>
        <v>7.9015031850815376E-8</v>
      </c>
      <c r="K16">
        <f t="shared" si="14"/>
        <v>3.5239806885858265E-5</v>
      </c>
      <c r="L16">
        <f t="shared" si="15"/>
        <v>3.1010933891362659E-6</v>
      </c>
    </row>
    <row r="17" spans="2:13" x14ac:dyDescent="0.25">
      <c r="D17">
        <v>14</v>
      </c>
      <c r="E17">
        <f t="shared" si="8"/>
        <v>1.73199462890625</v>
      </c>
      <c r="F17">
        <f t="shared" si="9"/>
        <v>1.7320556640625</v>
      </c>
      <c r="G17">
        <f t="shared" si="10"/>
        <v>1.732025146484375</v>
      </c>
      <c r="H17">
        <f t="shared" si="11"/>
        <v>-1.9460543990135193E-4</v>
      </c>
      <c r="I17">
        <f t="shared" si="12"/>
        <v>-8.8891945779323578E-5</v>
      </c>
      <c r="J17">
        <f t="shared" si="13"/>
        <v>1.7298856212072389E-8</v>
      </c>
      <c r="K17">
        <f t="shared" si="14"/>
        <v>1.7619592987401992E-5</v>
      </c>
      <c r="L17">
        <f t="shared" si="15"/>
        <v>1.4518755412826783E-5</v>
      </c>
    </row>
    <row r="18" spans="2:13" x14ac:dyDescent="0.25">
      <c r="D18">
        <v>15</v>
      </c>
      <c r="E18">
        <f t="shared" si="8"/>
        <v>1.732025146484375</v>
      </c>
      <c r="F18">
        <f t="shared" si="9"/>
        <v>1.7320556640625</v>
      </c>
      <c r="G18">
        <f t="shared" si="10"/>
        <v>1.7320404052734375</v>
      </c>
      <c r="H18">
        <f t="shared" si="11"/>
        <v>-8.8891945779323578E-5</v>
      </c>
      <c r="I18">
        <f t="shared" si="12"/>
        <v>-3.6034500226378441E-5</v>
      </c>
      <c r="J18">
        <f t="shared" si="13"/>
        <v>3.2031768403082556E-9</v>
      </c>
      <c r="K18">
        <f t="shared" si="14"/>
        <v>8.8097188818704796E-6</v>
      </c>
      <c r="L18">
        <f t="shared" si="15"/>
        <v>2.3328679813808309E-5</v>
      </c>
    </row>
    <row r="19" spans="2:13" x14ac:dyDescent="0.25">
      <c r="D19">
        <v>16</v>
      </c>
      <c r="E19">
        <f t="shared" si="8"/>
        <v>1.7320404052734375</v>
      </c>
      <c r="F19">
        <f t="shared" si="9"/>
        <v>1.7320556640625</v>
      </c>
      <c r="G19">
        <f t="shared" si="10"/>
        <v>1.7320480346679688</v>
      </c>
      <c r="H19">
        <f t="shared" si="11"/>
        <v>-3.6034500226378441E-5</v>
      </c>
      <c r="I19">
        <f t="shared" si="12"/>
        <v>-9.6056028269231319E-6</v>
      </c>
      <c r="J19">
        <f t="shared" si="13"/>
        <v>3.4613309724126299E-10</v>
      </c>
      <c r="K19">
        <f t="shared" si="14"/>
        <v>4.4048400382340118E-6</v>
      </c>
      <c r="L19">
        <f t="shared" si="15"/>
        <v>2.7733642014299068E-5</v>
      </c>
    </row>
    <row r="20" spans="2:13" x14ac:dyDescent="0.25">
      <c r="D20" s="7">
        <v>17</v>
      </c>
      <c r="E20" s="7">
        <f t="shared" si="8"/>
        <v>1.7320480346679688</v>
      </c>
      <c r="F20" s="7">
        <f t="shared" si="9"/>
        <v>1.7320556640625</v>
      </c>
      <c r="G20" s="7">
        <f t="shared" si="10"/>
        <v>1.7320518493652344</v>
      </c>
      <c r="H20" s="7">
        <f t="shared" si="11"/>
        <v>-9.6056028269231319E-6</v>
      </c>
      <c r="I20" s="7">
        <f t="shared" si="12"/>
        <v>3.6088895285502076E-6</v>
      </c>
      <c r="J20" s="7">
        <f t="shared" si="13"/>
        <v>-3.4665559457495163E-11</v>
      </c>
      <c r="K20" s="7">
        <f t="shared" si="14"/>
        <v>2.2024151684737483E-6</v>
      </c>
      <c r="L20" s="7">
        <f t="shared" si="15"/>
        <v>2.9936123114544451E-5</v>
      </c>
    </row>
    <row r="21" spans="2:13" x14ac:dyDescent="0.25">
      <c r="D21" s="7">
        <v>18</v>
      </c>
      <c r="E21" s="7">
        <f t="shared" si="8"/>
        <v>1.7320480346679688</v>
      </c>
      <c r="F21" s="7">
        <f t="shared" si="9"/>
        <v>1.7320518493652344</v>
      </c>
      <c r="G21" s="7">
        <f t="shared" si="10"/>
        <v>1.7320499420166016</v>
      </c>
      <c r="H21" s="7">
        <f t="shared" si="11"/>
        <v>-9.6056028269231319E-6</v>
      </c>
      <c r="I21" s="7">
        <f t="shared" si="12"/>
        <v>-2.9983602871652693E-6</v>
      </c>
      <c r="J21" s="7">
        <f t="shared" si="13"/>
        <v>2.8801058050528764E-11</v>
      </c>
      <c r="K21" s="7">
        <f t="shared" si="14"/>
        <v>1.1012087968963532E-6</v>
      </c>
      <c r="L21" s="7">
        <f t="shared" si="15"/>
        <v>2.8834882564421761E-5</v>
      </c>
    </row>
    <row r="23" spans="2:13" x14ac:dyDescent="0.25">
      <c r="B23" s="3" t="s">
        <v>13</v>
      </c>
      <c r="C23" s="3"/>
      <c r="E23" s="2" t="s">
        <v>2</v>
      </c>
      <c r="F23" s="2" t="s">
        <v>6</v>
      </c>
      <c r="G23" s="2" t="s">
        <v>8</v>
      </c>
      <c r="H23" s="2" t="s">
        <v>14</v>
      </c>
      <c r="I23" s="2" t="s">
        <v>7</v>
      </c>
      <c r="J23" s="2" t="s">
        <v>9</v>
      </c>
      <c r="K23" s="2" t="s">
        <v>10</v>
      </c>
      <c r="L23" s="2" t="s">
        <v>11</v>
      </c>
      <c r="M23" s="2" t="s">
        <v>12</v>
      </c>
    </row>
    <row r="24" spans="2:13" x14ac:dyDescent="0.25">
      <c r="B24" t="s">
        <v>1</v>
      </c>
      <c r="D24">
        <v>0</v>
      </c>
      <c r="E24">
        <v>1</v>
      </c>
      <c r="F24">
        <v>2</v>
      </c>
      <c r="G24">
        <f>(E24^2)-3</f>
        <v>-2</v>
      </c>
      <c r="H24">
        <f>(F24^2)-3</f>
        <v>1</v>
      </c>
      <c r="I24">
        <f>E24-((F24-E24)/(H24-G24))*G24</f>
        <v>1.6666666666666665</v>
      </c>
      <c r="J24">
        <f>(I24^2)-3</f>
        <v>-0.22222222222222276</v>
      </c>
      <c r="K24">
        <f>G24*J24</f>
        <v>0.44444444444444553</v>
      </c>
      <c r="M24">
        <f>ABS(($C$26-I24)/$C$26)</f>
        <v>3.7721324095458121E-2</v>
      </c>
    </row>
    <row r="25" spans="2:13" x14ac:dyDescent="0.25">
      <c r="B25" s="5" t="s">
        <v>3</v>
      </c>
      <c r="C25" s="5" t="s">
        <v>4</v>
      </c>
      <c r="D25">
        <v>1</v>
      </c>
      <c r="E25">
        <f>IF(K24&lt;0,E24,I24)</f>
        <v>1.6666666666666665</v>
      </c>
      <c r="F25">
        <f>IF(K24&gt;0,F24,I24)</f>
        <v>2</v>
      </c>
      <c r="G25">
        <f>(E25^2)-3</f>
        <v>-0.22222222222222276</v>
      </c>
      <c r="H25">
        <f>(F25^2)-3</f>
        <v>1</v>
      </c>
      <c r="I25">
        <f>E25-((F25-E25)/(H25-G25))*G25</f>
        <v>1.7272727272727273</v>
      </c>
      <c r="J25">
        <f>(I25^2)-3</f>
        <v>-1.6528925619834656E-2</v>
      </c>
      <c r="K25">
        <f t="shared" ref="K25:K30" si="16">G25*J25</f>
        <v>3.6730945821854882E-3</v>
      </c>
      <c r="L25">
        <f>ABS((I25-I24)/I25)</f>
        <v>3.5087719298245709E-2</v>
      </c>
      <c r="M25">
        <f>ABS(($C$26-I25)/$C$26)</f>
        <v>2.7293722443837709E-3</v>
      </c>
    </row>
    <row r="26" spans="2:13" x14ac:dyDescent="0.25">
      <c r="B26" s="5" t="s">
        <v>5</v>
      </c>
      <c r="C26" s="6">
        <v>1.732</v>
      </c>
      <c r="D26">
        <v>2</v>
      </c>
      <c r="E26">
        <f t="shared" ref="E26:E30" si="17">IF(J25&gt;0,E25,I25)</f>
        <v>1.7272727272727273</v>
      </c>
      <c r="F26">
        <f t="shared" ref="F26:F30" si="18">IF(J25&lt;0,F25,I25)</f>
        <v>2</v>
      </c>
      <c r="G26">
        <f t="shared" ref="G26:G30" si="19">(E26^2)-3</f>
        <v>-1.6528925619834656E-2</v>
      </c>
      <c r="H26">
        <f t="shared" ref="H26:H30" si="20">(F26^2)-3</f>
        <v>1</v>
      </c>
      <c r="I26">
        <f t="shared" ref="I26:I30" si="21">E26-((F26-E26)/(H26-G26))*G26</f>
        <v>1.7317073170731707</v>
      </c>
      <c r="J26">
        <f t="shared" ref="J26:J30" si="22">(I26^2)-3</f>
        <v>-1.1897679952408424E-3</v>
      </c>
      <c r="K26">
        <f t="shared" si="16"/>
        <v>1.9665586698195677E-5</v>
      </c>
      <c r="L26">
        <f>ABS((I26-I25)/I26)</f>
        <v>2.560819462227892E-3</v>
      </c>
      <c r="M26">
        <f>ABS(($C$26-I26)/$C$26)</f>
        <v>1.6898552357348068E-4</v>
      </c>
    </row>
    <row r="27" spans="2:13" x14ac:dyDescent="0.25">
      <c r="D27">
        <v>3</v>
      </c>
      <c r="E27">
        <f t="shared" si="17"/>
        <v>1.7317073170731707</v>
      </c>
      <c r="F27">
        <f t="shared" si="18"/>
        <v>2</v>
      </c>
      <c r="G27">
        <f t="shared" si="19"/>
        <v>-1.1897679952408424E-3</v>
      </c>
      <c r="H27">
        <f t="shared" si="20"/>
        <v>1</v>
      </c>
      <c r="I27">
        <f t="shared" si="21"/>
        <v>1.7320261437908497</v>
      </c>
      <c r="J27">
        <f t="shared" si="22"/>
        <v>-8.5437224998763384E-5</v>
      </c>
      <c r="K27">
        <f t="shared" si="16"/>
        <v>1.016504759057195E-7</v>
      </c>
      <c r="L27">
        <f>ABS((I27-I26)/I27)</f>
        <v>1.8407731247128416E-4</v>
      </c>
      <c r="M27">
        <f>ABS(($C$26-I27)/$C$26)</f>
        <v>1.5094567465215385E-5</v>
      </c>
    </row>
    <row r="28" spans="2:13" x14ac:dyDescent="0.25">
      <c r="D28">
        <v>4</v>
      </c>
      <c r="E28">
        <f t="shared" si="17"/>
        <v>1.7320261437908497</v>
      </c>
      <c r="F28">
        <f t="shared" si="18"/>
        <v>2</v>
      </c>
      <c r="G28">
        <f t="shared" si="19"/>
        <v>-8.5437224998763384E-5</v>
      </c>
      <c r="H28">
        <f t="shared" si="20"/>
        <v>1</v>
      </c>
      <c r="I28">
        <f t="shared" si="21"/>
        <v>1.7320490367775832</v>
      </c>
      <c r="J28">
        <f t="shared" si="22"/>
        <v>-6.1341978465634384E-6</v>
      </c>
      <c r="K28">
        <f t="shared" si="16"/>
        <v>5.2408884160377034E-10</v>
      </c>
      <c r="L28">
        <f>ABS((I28-I27)/I28)</f>
        <v>1.3217285566005327E-5</v>
      </c>
      <c r="M28">
        <f>ABS(($C$26-I28)/$C$26)</f>
        <v>2.8312227242013177E-5</v>
      </c>
    </row>
    <row r="29" spans="2:13" x14ac:dyDescent="0.25">
      <c r="D29" s="7">
        <v>5</v>
      </c>
      <c r="E29" s="7">
        <f t="shared" si="17"/>
        <v>1.7320490367775832</v>
      </c>
      <c r="F29" s="7">
        <f t="shared" si="18"/>
        <v>2</v>
      </c>
      <c r="G29" s="7">
        <f t="shared" si="19"/>
        <v>-6.1341978465634384E-6</v>
      </c>
      <c r="H29" s="7">
        <f t="shared" si="20"/>
        <v>1</v>
      </c>
      <c r="I29" s="7">
        <f t="shared" si="21"/>
        <v>1.7320506804317222</v>
      </c>
      <c r="J29" s="7">
        <f t="shared" si="22"/>
        <v>-4.4041600810729165E-7</v>
      </c>
      <c r="K29" s="7">
        <f t="shared" si="16"/>
        <v>2.7015989285238144E-12</v>
      </c>
      <c r="L29" s="7">
        <f>ABS((I29-I28)/I29)</f>
        <v>9.4896422927224018E-7</v>
      </c>
      <c r="M29" s="7">
        <f>ABS(($C$26-I29)/$C$26)</f>
        <v>2.9261219239135781E-5</v>
      </c>
    </row>
    <row r="30" spans="2:13" x14ac:dyDescent="0.25">
      <c r="D30" s="7">
        <v>6</v>
      </c>
      <c r="E30" s="7">
        <f t="shared" si="17"/>
        <v>1.7320506804317222</v>
      </c>
      <c r="F30" s="7">
        <f t="shared" si="18"/>
        <v>2</v>
      </c>
      <c r="G30" s="7">
        <f t="shared" si="19"/>
        <v>-4.4041600810729165E-7</v>
      </c>
      <c r="H30" s="7">
        <f t="shared" si="20"/>
        <v>1</v>
      </c>
      <c r="I30" s="7">
        <f t="shared" si="21"/>
        <v>1.73205079844084</v>
      </c>
      <c r="J30" s="7">
        <f t="shared" si="22"/>
        <v>-3.162044892590643E-8</v>
      </c>
      <c r="K30" s="7">
        <f t="shared" si="16"/>
        <v>1.3926151890508208E-14</v>
      </c>
      <c r="L30" s="7">
        <f>ABS((I30-I29)/I30)</f>
        <v>6.8132596294082609E-8</v>
      </c>
      <c r="M30" s="7">
        <f>ABS(($C$26-I30)/$C$26)</f>
        <v>2.9329353833714888E-5</v>
      </c>
    </row>
    <row r="32" spans="2:13" x14ac:dyDescent="0.25">
      <c r="B32" s="3" t="s">
        <v>15</v>
      </c>
      <c r="C32" s="3"/>
      <c r="E32" s="2" t="s">
        <v>7</v>
      </c>
      <c r="F32" s="2" t="s">
        <v>9</v>
      </c>
      <c r="G32" s="2" t="s">
        <v>16</v>
      </c>
      <c r="H32" s="2" t="s">
        <v>11</v>
      </c>
      <c r="I32" s="2" t="s">
        <v>12</v>
      </c>
    </row>
    <row r="33" spans="2:11" x14ac:dyDescent="0.25">
      <c r="B33" t="s">
        <v>1</v>
      </c>
      <c r="D33">
        <v>0</v>
      </c>
      <c r="E33">
        <v>1.5</v>
      </c>
      <c r="F33">
        <f>(E33^2)-3</f>
        <v>-0.75</v>
      </c>
      <c r="G33">
        <f>2*E33</f>
        <v>3</v>
      </c>
      <c r="I33">
        <f>ABS(($C$36-E33)/$C$36)</f>
        <v>0.13394919168591224</v>
      </c>
    </row>
    <row r="34" spans="2:11" x14ac:dyDescent="0.25">
      <c r="B34" t="s">
        <v>17</v>
      </c>
      <c r="D34">
        <v>1</v>
      </c>
      <c r="E34">
        <f>E33-(F33/G33)</f>
        <v>1.75</v>
      </c>
      <c r="F34">
        <f>(E34^2)-3</f>
        <v>6.25E-2</v>
      </c>
      <c r="G34">
        <f>2*E34</f>
        <v>3.5</v>
      </c>
      <c r="H34">
        <f>ABS((E34-E33)/E34)</f>
        <v>0.14285714285714285</v>
      </c>
      <c r="I34">
        <f t="shared" ref="I34:I37" si="23">ABS(($C$36-E34)/$C$36)</f>
        <v>1.0392609699769063E-2</v>
      </c>
    </row>
    <row r="35" spans="2:11" x14ac:dyDescent="0.25">
      <c r="B35" s="5" t="s">
        <v>18</v>
      </c>
      <c r="C35" s="5">
        <v>1.5</v>
      </c>
      <c r="D35">
        <v>2</v>
      </c>
      <c r="E35">
        <f t="shared" ref="E35:E41" si="24">E34-(F34/G34)</f>
        <v>1.7321428571428572</v>
      </c>
      <c r="F35">
        <f t="shared" ref="F35:F41" si="25">(E35^2)-3</f>
        <v>3.1887755102077975E-4</v>
      </c>
      <c r="G35">
        <f t="shared" ref="G35:G41" si="26">2*E35</f>
        <v>3.4642857142857144</v>
      </c>
      <c r="H35">
        <f t="shared" ref="H35:H37" si="27">ABS((E35-E34)/E35)</f>
        <v>1.0309278350515427E-2</v>
      </c>
      <c r="I35">
        <f t="shared" si="23"/>
        <v>8.2481029363292314E-5</v>
      </c>
    </row>
    <row r="36" spans="2:11" x14ac:dyDescent="0.25">
      <c r="B36" s="5" t="s">
        <v>5</v>
      </c>
      <c r="C36" s="6">
        <v>1.732</v>
      </c>
      <c r="D36">
        <v>3</v>
      </c>
      <c r="E36">
        <f t="shared" si="24"/>
        <v>1.7320508100147276</v>
      </c>
      <c r="F36">
        <f t="shared" si="25"/>
        <v>8.4726741178542397E-9</v>
      </c>
      <c r="G36">
        <f t="shared" si="26"/>
        <v>3.4641016200294552</v>
      </c>
      <c r="H36">
        <f t="shared" si="27"/>
        <v>5.3143434128713205E-5</v>
      </c>
      <c r="I36">
        <f t="shared" si="23"/>
        <v>2.9336036216870819E-5</v>
      </c>
    </row>
    <row r="37" spans="2:11" x14ac:dyDescent="0.25">
      <c r="D37" s="7">
        <v>4</v>
      </c>
      <c r="E37" s="7">
        <f t="shared" si="24"/>
        <v>1.7320508075688772</v>
      </c>
      <c r="F37" s="7">
        <f t="shared" si="25"/>
        <v>0</v>
      </c>
      <c r="G37" s="7">
        <f t="shared" si="26"/>
        <v>3.4641016151377544</v>
      </c>
      <c r="H37" s="7">
        <f t="shared" si="27"/>
        <v>1.4121123932417916E-9</v>
      </c>
      <c r="I37" s="7">
        <f t="shared" si="23"/>
        <v>2.9334624063053791E-5</v>
      </c>
    </row>
    <row r="39" spans="2:11" x14ac:dyDescent="0.25">
      <c r="B39" s="3" t="s">
        <v>19</v>
      </c>
      <c r="C39" s="3"/>
      <c r="F39" s="1" t="s">
        <v>7</v>
      </c>
      <c r="G39" s="1" t="s">
        <v>9</v>
      </c>
      <c r="H39" s="2" t="s">
        <v>11</v>
      </c>
      <c r="I39" s="2" t="s">
        <v>12</v>
      </c>
    </row>
    <row r="40" spans="2:11" x14ac:dyDescent="0.25">
      <c r="B40" t="s">
        <v>1</v>
      </c>
      <c r="D40">
        <v>0</v>
      </c>
      <c r="E40" t="s">
        <v>20</v>
      </c>
      <c r="F40">
        <v>1</v>
      </c>
      <c r="G40">
        <f>(F40^2)-3</f>
        <v>-2</v>
      </c>
      <c r="I40">
        <f>ABS(($C$43-F40)/$C$43)</f>
        <v>0.42263279445727481</v>
      </c>
      <c r="J40" s="8"/>
      <c r="K40" s="8">
        <f>I40</f>
        <v>0.42263279445727481</v>
      </c>
    </row>
    <row r="41" spans="2:11" x14ac:dyDescent="0.25">
      <c r="B41" t="s">
        <v>17</v>
      </c>
      <c r="D41">
        <v>1</v>
      </c>
      <c r="E41" t="s">
        <v>21</v>
      </c>
      <c r="F41">
        <v>2</v>
      </c>
      <c r="G41">
        <f>(F41^2)-3</f>
        <v>1</v>
      </c>
      <c r="H41">
        <f>ABS((F41-F40)/F41)</f>
        <v>0.5</v>
      </c>
      <c r="I41">
        <f t="shared" ref="I41:I46" si="28">ABS(($C$43-F41)/$C$43)</f>
        <v>0.15473441108545036</v>
      </c>
      <c r="J41" s="8">
        <f>H41</f>
        <v>0.5</v>
      </c>
      <c r="K41" s="8">
        <f t="shared" ref="K41:K46" si="29">I41</f>
        <v>0.15473441108545036</v>
      </c>
    </row>
    <row r="42" spans="2:11" x14ac:dyDescent="0.25">
      <c r="B42" s="5" t="s">
        <v>18</v>
      </c>
      <c r="C42" s="5">
        <v>1.5</v>
      </c>
      <c r="D42">
        <v>2</v>
      </c>
      <c r="E42" t="s">
        <v>24</v>
      </c>
      <c r="F42">
        <f>F41-((G41*(F41-F40))/(G41-G40))</f>
        <v>1.6666666666666667</v>
      </c>
      <c r="G42">
        <f>(F42^2)-3</f>
        <v>-0.22222222222222188</v>
      </c>
      <c r="H42">
        <f t="shared" ref="H42:H46" si="30">ABS((F42-F41)/F42)</f>
        <v>0.19999999999999996</v>
      </c>
      <c r="I42">
        <f t="shared" si="28"/>
        <v>3.7721324095457996E-2</v>
      </c>
      <c r="J42" s="8">
        <f t="shared" ref="J42:J46" si="31">H42</f>
        <v>0.19999999999999996</v>
      </c>
      <c r="K42" s="8">
        <f t="shared" si="29"/>
        <v>3.7721324095457996E-2</v>
      </c>
    </row>
    <row r="43" spans="2:11" x14ac:dyDescent="0.25">
      <c r="B43" s="5" t="s">
        <v>5</v>
      </c>
      <c r="C43" s="6">
        <v>1.732</v>
      </c>
      <c r="D43">
        <v>3</v>
      </c>
      <c r="E43" t="s">
        <v>22</v>
      </c>
      <c r="F43">
        <f t="shared" ref="F43:F48" si="32">F42-((G42*(F42-F41))/(G42-G41))</f>
        <v>1.7272727272727273</v>
      </c>
      <c r="G43">
        <f t="shared" ref="G43:G48" si="33">(F43^2)-3</f>
        <v>-1.6528925619834656E-2</v>
      </c>
      <c r="H43">
        <f t="shared" si="30"/>
        <v>3.5087719298245584E-2</v>
      </c>
      <c r="I43">
        <f t="shared" si="28"/>
        <v>2.7293722443837709E-3</v>
      </c>
      <c r="J43" s="8">
        <f t="shared" si="31"/>
        <v>3.5087719298245584E-2</v>
      </c>
      <c r="K43" s="8">
        <f t="shared" si="29"/>
        <v>2.7293722443837709E-3</v>
      </c>
    </row>
    <row r="44" spans="2:11" x14ac:dyDescent="0.25">
      <c r="D44">
        <v>4</v>
      </c>
      <c r="E44" t="s">
        <v>23</v>
      </c>
      <c r="F44">
        <f t="shared" si="32"/>
        <v>1.7321428571428572</v>
      </c>
      <c r="G44">
        <f t="shared" si="33"/>
        <v>3.1887755102077975E-4</v>
      </c>
      <c r="H44">
        <f t="shared" si="30"/>
        <v>2.811621368322424E-3</v>
      </c>
      <c r="I44">
        <f t="shared" si="28"/>
        <v>8.2481029363292314E-5</v>
      </c>
      <c r="J44" s="8">
        <f t="shared" si="31"/>
        <v>2.811621368322424E-3</v>
      </c>
      <c r="K44" s="8">
        <f t="shared" si="29"/>
        <v>8.2481029363292314E-5</v>
      </c>
    </row>
    <row r="45" spans="2:11" x14ac:dyDescent="0.25">
      <c r="D45" s="7">
        <v>5</v>
      </c>
      <c r="E45" s="7" t="s">
        <v>25</v>
      </c>
      <c r="F45" s="7">
        <f t="shared" si="32"/>
        <v>1.7320506804317222</v>
      </c>
      <c r="G45" s="7">
        <f t="shared" si="33"/>
        <v>-4.4041600810729165E-7</v>
      </c>
      <c r="H45" s="7">
        <f t="shared" si="30"/>
        <v>5.32182528931911E-5</v>
      </c>
      <c r="I45" s="7">
        <f t="shared" si="28"/>
        <v>2.9261219239135781E-5</v>
      </c>
      <c r="J45" s="8">
        <f t="shared" si="31"/>
        <v>5.32182528931911E-5</v>
      </c>
      <c r="K45" s="8">
        <f t="shared" si="29"/>
        <v>2.9261219239135781E-5</v>
      </c>
    </row>
    <row r="46" spans="2:11" x14ac:dyDescent="0.25">
      <c r="D46" s="7">
        <v>6</v>
      </c>
      <c r="E46" s="7" t="s">
        <v>26</v>
      </c>
      <c r="F46" s="7">
        <f t="shared" si="32"/>
        <v>1.732050807565499</v>
      </c>
      <c r="G46" s="7">
        <f t="shared" si="33"/>
        <v>-1.170263885796885E-11</v>
      </c>
      <c r="H46" s="7">
        <f t="shared" si="30"/>
        <v>7.3400720281448455E-8</v>
      </c>
      <c r="I46" s="7">
        <f t="shared" si="28"/>
        <v>2.9334622112599622E-5</v>
      </c>
      <c r="J46" s="8">
        <f t="shared" si="31"/>
        <v>7.3400720281448455E-8</v>
      </c>
      <c r="K46" s="8">
        <f t="shared" si="29"/>
        <v>2.9334622112599622E-5</v>
      </c>
    </row>
    <row r="50" spans="2:2" x14ac:dyDescent="0.25">
      <c r="B50" t="s">
        <v>27</v>
      </c>
    </row>
    <row r="51" spans="2:2" x14ac:dyDescent="0.25">
      <c r="B51" t="s">
        <v>28</v>
      </c>
    </row>
    <row r="52" spans="2:2" x14ac:dyDescent="0.25">
      <c r="B52" t="s">
        <v>29</v>
      </c>
    </row>
    <row r="53" spans="2:2" x14ac:dyDescent="0.25">
      <c r="B53" t="s">
        <v>30</v>
      </c>
    </row>
    <row r="54" spans="2:2" x14ac:dyDescent="0.25">
      <c r="B54" t="s">
        <v>31</v>
      </c>
    </row>
  </sheetData>
  <mergeCells count="4">
    <mergeCell ref="B2:C2"/>
    <mergeCell ref="B23:C23"/>
    <mergeCell ref="B32:C32"/>
    <mergeCell ref="B39:C3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2026-09-18T06:23:52Z</dcterms:created>
  <dcterms:modified xsi:type="dcterms:W3CDTF">2026-09-18T08:51:05Z</dcterms:modified>
</cp:coreProperties>
</file>
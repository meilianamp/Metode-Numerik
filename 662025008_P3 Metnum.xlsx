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This is for my school bro, just ppt taskes\MetNum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4" i="1" l="1"/>
  <c r="X5" i="1"/>
  <c r="W6" i="1"/>
  <c r="X4" i="1"/>
  <c r="W5" i="1"/>
  <c r="W4" i="1"/>
  <c r="O10" i="1"/>
  <c r="O11" i="1"/>
  <c r="O12" i="1"/>
  <c r="O13" i="1"/>
  <c r="O14" i="1"/>
  <c r="O15" i="1"/>
  <c r="O16" i="1"/>
  <c r="O17" i="1"/>
  <c r="O18" i="1"/>
  <c r="O19" i="1"/>
  <c r="N11" i="1"/>
  <c r="N12" i="1"/>
  <c r="N13" i="1" s="1"/>
  <c r="N14" i="1" s="1"/>
  <c r="N15" i="1" s="1"/>
  <c r="N16" i="1" s="1"/>
  <c r="N17" i="1" s="1"/>
  <c r="N18" i="1" s="1"/>
  <c r="N19" i="1" s="1"/>
  <c r="N10" i="1"/>
  <c r="O9" i="1"/>
  <c r="R4" i="1"/>
  <c r="Q6" i="1"/>
  <c r="Q5" i="1"/>
  <c r="Q4" i="1"/>
  <c r="P4" i="1"/>
  <c r="C9" i="1"/>
  <c r="C10" i="1" s="1"/>
  <c r="D9" i="1"/>
  <c r="D8" i="1"/>
  <c r="E4" i="1"/>
  <c r="D10" i="1" l="1"/>
  <c r="C11" i="1"/>
  <c r="C12" i="1" s="1"/>
  <c r="C13" i="1" s="1"/>
  <c r="D12" i="1"/>
  <c r="D11" i="1" l="1"/>
  <c r="C14" i="1"/>
  <c r="D13" i="1"/>
  <c r="C15" i="1" l="1"/>
  <c r="D14" i="1"/>
  <c r="C16" i="1" l="1"/>
  <c r="D15" i="1"/>
  <c r="C17" i="1" l="1"/>
  <c r="D16" i="1"/>
  <c r="C18" i="1" l="1"/>
  <c r="D17" i="1"/>
  <c r="D18" i="1" l="1"/>
  <c r="C19" i="1"/>
  <c r="D19" i="1" l="1"/>
  <c r="C20" i="1"/>
  <c r="C21" i="1" l="1"/>
  <c r="D20" i="1"/>
  <c r="C22" i="1" l="1"/>
  <c r="D21" i="1"/>
  <c r="C23" i="1" l="1"/>
  <c r="D22" i="1"/>
  <c r="C24" i="1" l="1"/>
  <c r="D23" i="1"/>
  <c r="C25" i="1" l="1"/>
  <c r="D24" i="1"/>
  <c r="C26" i="1" l="1"/>
  <c r="D25" i="1"/>
  <c r="C27" i="1" l="1"/>
  <c r="D26" i="1"/>
  <c r="C28" i="1" l="1"/>
  <c r="D27" i="1"/>
  <c r="C29" i="1" l="1"/>
  <c r="D28" i="1"/>
  <c r="C30" i="1" l="1"/>
  <c r="D29" i="1"/>
  <c r="D30" i="1" l="1"/>
  <c r="C31" i="1"/>
  <c r="C32" i="1" l="1"/>
  <c r="D31" i="1"/>
  <c r="C33" i="1" l="1"/>
  <c r="D32" i="1"/>
  <c r="C34" i="1" l="1"/>
  <c r="D33" i="1"/>
  <c r="C35" i="1" l="1"/>
  <c r="D34" i="1"/>
  <c r="C36" i="1" l="1"/>
  <c r="D35" i="1"/>
  <c r="C37" i="1" l="1"/>
  <c r="D36" i="1"/>
  <c r="C38" i="1" l="1"/>
  <c r="D38" i="1" s="1"/>
  <c r="D37" i="1"/>
</calcChain>
</file>

<file path=xl/sharedStrings.xml><?xml version="1.0" encoding="utf-8"?>
<sst xmlns="http://schemas.openxmlformats.org/spreadsheetml/2006/main" count="20" uniqueCount="12">
  <si>
    <t>x</t>
  </si>
  <si>
    <t>y</t>
  </si>
  <si>
    <t>Interpolasi Linier</t>
  </si>
  <si>
    <t>n</t>
  </si>
  <si>
    <t>x_i</t>
  </si>
  <si>
    <t>y_i</t>
  </si>
  <si>
    <t>Interpolasi Kuadratik</t>
  </si>
  <si>
    <t>a_n</t>
  </si>
  <si>
    <t>Interpolasi Newton</t>
  </si>
  <si>
    <t>I</t>
  </si>
  <si>
    <t>II</t>
  </si>
  <si>
    <t>III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</si>
</sst>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Interpolasi Linier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Sheet1!$C$8:$C$38</c:f>
              <c:numCache>
                <c:formatCode>General</c:formatCode>
                <c:ptCount val="31"/>
                <c:pt idx="0">
                  <c:v>1</c:v>
                </c:pt>
                <c:pt idx="1">
                  <c:v>1.1000000000000001</c:v>
                </c:pt>
                <c:pt idx="2">
                  <c:v>1.2000000000000002</c:v>
                </c:pt>
                <c:pt idx="3">
                  <c:v>1.3000000000000003</c:v>
                </c:pt>
                <c:pt idx="4">
                  <c:v>1.4000000000000004</c:v>
                </c:pt>
                <c:pt idx="5">
                  <c:v>1.5000000000000004</c:v>
                </c:pt>
                <c:pt idx="6">
                  <c:v>1.6000000000000005</c:v>
                </c:pt>
                <c:pt idx="7">
                  <c:v>1.7000000000000006</c:v>
                </c:pt>
                <c:pt idx="8">
                  <c:v>1.8000000000000007</c:v>
                </c:pt>
                <c:pt idx="9">
                  <c:v>1.9000000000000008</c:v>
                </c:pt>
                <c:pt idx="10">
                  <c:v>2.0000000000000009</c:v>
                </c:pt>
                <c:pt idx="11">
                  <c:v>2.100000000000001</c:v>
                </c:pt>
                <c:pt idx="12">
                  <c:v>2.2000000000000011</c:v>
                </c:pt>
                <c:pt idx="13">
                  <c:v>2.3000000000000012</c:v>
                </c:pt>
                <c:pt idx="14">
                  <c:v>2.4000000000000012</c:v>
                </c:pt>
                <c:pt idx="15">
                  <c:v>2.5000000000000013</c:v>
                </c:pt>
                <c:pt idx="16">
                  <c:v>2.6000000000000014</c:v>
                </c:pt>
                <c:pt idx="17">
                  <c:v>2.7000000000000015</c:v>
                </c:pt>
                <c:pt idx="18">
                  <c:v>2.8000000000000016</c:v>
                </c:pt>
                <c:pt idx="19">
                  <c:v>2.9000000000000017</c:v>
                </c:pt>
                <c:pt idx="20">
                  <c:v>3.0000000000000018</c:v>
                </c:pt>
                <c:pt idx="21">
                  <c:v>3.1000000000000019</c:v>
                </c:pt>
                <c:pt idx="22">
                  <c:v>3.200000000000002</c:v>
                </c:pt>
                <c:pt idx="23">
                  <c:v>3.300000000000002</c:v>
                </c:pt>
                <c:pt idx="24">
                  <c:v>3.4000000000000021</c:v>
                </c:pt>
                <c:pt idx="25">
                  <c:v>3.5000000000000022</c:v>
                </c:pt>
                <c:pt idx="26">
                  <c:v>3.6000000000000023</c:v>
                </c:pt>
                <c:pt idx="27">
                  <c:v>3.7000000000000024</c:v>
                </c:pt>
                <c:pt idx="28">
                  <c:v>3.8000000000000025</c:v>
                </c:pt>
                <c:pt idx="29">
                  <c:v>3.9000000000000026</c:v>
                </c:pt>
                <c:pt idx="30">
                  <c:v>4.0000000000000027</c:v>
                </c:pt>
              </c:numCache>
            </c:numRef>
          </c:cat>
          <c:val>
            <c:numRef>
              <c:f>Sheet1!$D$8:$D$38</c:f>
              <c:numCache>
                <c:formatCode>General</c:formatCode>
                <c:ptCount val="31"/>
                <c:pt idx="0">
                  <c:v>0</c:v>
                </c:pt>
                <c:pt idx="1">
                  <c:v>4.620000000000004E-2</c:v>
                </c:pt>
                <c:pt idx="2">
                  <c:v>9.2400000000000079E-2</c:v>
                </c:pt>
                <c:pt idx="3">
                  <c:v>0.13860000000000011</c:v>
                </c:pt>
                <c:pt idx="4">
                  <c:v>0.18480000000000016</c:v>
                </c:pt>
                <c:pt idx="5">
                  <c:v>0.23100000000000018</c:v>
                </c:pt>
                <c:pt idx="6">
                  <c:v>0.27720000000000022</c:v>
                </c:pt>
                <c:pt idx="7">
                  <c:v>0.32340000000000024</c:v>
                </c:pt>
                <c:pt idx="8">
                  <c:v>0.36960000000000032</c:v>
                </c:pt>
                <c:pt idx="9">
                  <c:v>0.41580000000000034</c:v>
                </c:pt>
                <c:pt idx="10">
                  <c:v>0.46200000000000035</c:v>
                </c:pt>
                <c:pt idx="11">
                  <c:v>0.50820000000000043</c:v>
                </c:pt>
                <c:pt idx="12">
                  <c:v>0.55440000000000045</c:v>
                </c:pt>
                <c:pt idx="13">
                  <c:v>0.60060000000000047</c:v>
                </c:pt>
                <c:pt idx="14">
                  <c:v>0.64680000000000049</c:v>
                </c:pt>
                <c:pt idx="15">
                  <c:v>0.69300000000000062</c:v>
                </c:pt>
                <c:pt idx="16">
                  <c:v>0.73920000000000063</c:v>
                </c:pt>
                <c:pt idx="17">
                  <c:v>0.78540000000000065</c:v>
                </c:pt>
                <c:pt idx="18">
                  <c:v>0.83160000000000067</c:v>
                </c:pt>
                <c:pt idx="19">
                  <c:v>0.87780000000000069</c:v>
                </c:pt>
                <c:pt idx="20">
                  <c:v>0.92400000000000071</c:v>
                </c:pt>
                <c:pt idx="21">
                  <c:v>0.97020000000000084</c:v>
                </c:pt>
                <c:pt idx="22">
                  <c:v>1.0164000000000009</c:v>
                </c:pt>
                <c:pt idx="23">
                  <c:v>1.0626000000000009</c:v>
                </c:pt>
                <c:pt idx="24">
                  <c:v>1.1088000000000009</c:v>
                </c:pt>
                <c:pt idx="25">
                  <c:v>1.1550000000000009</c:v>
                </c:pt>
                <c:pt idx="26">
                  <c:v>1.2012000000000009</c:v>
                </c:pt>
                <c:pt idx="27">
                  <c:v>1.247400000000001</c:v>
                </c:pt>
                <c:pt idx="28">
                  <c:v>1.293600000000001</c:v>
                </c:pt>
                <c:pt idx="29">
                  <c:v>1.339800000000001</c:v>
                </c:pt>
                <c:pt idx="30">
                  <c:v>1.3860000000000012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BCE-4536-B352-1EE74BE1D8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3827136"/>
        <c:axId val="353828448"/>
      </c:lineChart>
      <c:catAx>
        <c:axId val="353827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828448"/>
        <c:crosses val="autoZero"/>
        <c:auto val="1"/>
        <c:lblAlgn val="ctr"/>
        <c:lblOffset val="100"/>
        <c:noMultiLvlLbl val="0"/>
      </c:catAx>
      <c:valAx>
        <c:axId val="353828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827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7</xdr:row>
      <xdr:rowOff>9525</xdr:rowOff>
    </xdr:from>
    <xdr:to>
      <xdr:col>11</xdr:col>
      <xdr:colOff>390525</xdr:colOff>
      <xdr:row>21</xdr:row>
      <xdr:rowOff>85725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Y38"/>
  <sheetViews>
    <sheetView tabSelected="1" zoomScale="85" zoomScaleNormal="85" workbookViewId="0">
      <selection activeCell="K24" sqref="K24"/>
    </sheetView>
  </sheetViews>
  <sheetFormatPr defaultRowHeight="15" x14ac:dyDescent="0.25"/>
  <cols>
    <col min="1" max="16384" width="9.140625" style="1"/>
  </cols>
  <sheetData>
    <row r="2" spans="2:25" x14ac:dyDescent="0.25">
      <c r="B2" s="2" t="s">
        <v>2</v>
      </c>
      <c r="C2" s="2"/>
      <c r="D2" s="2"/>
      <c r="E2" s="2"/>
      <c r="M2" s="2" t="s">
        <v>6</v>
      </c>
      <c r="N2" s="2"/>
      <c r="O2" s="2"/>
      <c r="P2" s="2"/>
      <c r="Q2" s="2"/>
      <c r="R2" s="2"/>
      <c r="T2" s="2" t="s">
        <v>8</v>
      </c>
      <c r="U2" s="2"/>
      <c r="V2" s="2"/>
      <c r="W2" s="2"/>
      <c r="X2" s="2"/>
      <c r="Y2" s="2"/>
    </row>
    <row r="3" spans="2:25" x14ac:dyDescent="0.25">
      <c r="B3" s="7" t="s">
        <v>3</v>
      </c>
      <c r="C3" s="7" t="s">
        <v>0</v>
      </c>
      <c r="D3" s="7" t="s">
        <v>1</v>
      </c>
      <c r="E3" s="7"/>
      <c r="M3" s="7" t="s">
        <v>3</v>
      </c>
      <c r="N3" s="7" t="s">
        <v>0</v>
      </c>
      <c r="O3" s="7" t="s">
        <v>1</v>
      </c>
      <c r="P3" s="7"/>
      <c r="Q3" s="7" t="s">
        <v>7</v>
      </c>
      <c r="R3" s="7"/>
      <c r="T3" s="7" t="s">
        <v>3</v>
      </c>
      <c r="U3" s="7" t="s">
        <v>0</v>
      </c>
      <c r="V3" s="7" t="s">
        <v>1</v>
      </c>
      <c r="W3" s="9" t="s">
        <v>9</v>
      </c>
      <c r="X3" s="9" t="s">
        <v>10</v>
      </c>
      <c r="Y3" s="9" t="s">
        <v>11</v>
      </c>
    </row>
    <row r="4" spans="2:25" x14ac:dyDescent="0.25">
      <c r="B4" s="4">
        <v>0</v>
      </c>
      <c r="C4" s="4">
        <v>1</v>
      </c>
      <c r="D4" s="4">
        <v>0</v>
      </c>
      <c r="E4" s="8">
        <f>D4+((D5-D4)/(C5-C4))*(2-1)</f>
        <v>0.46199999999999997</v>
      </c>
      <c r="M4" s="4">
        <v>0</v>
      </c>
      <c r="N4" s="4">
        <v>1</v>
      </c>
      <c r="O4" s="4">
        <v>0</v>
      </c>
      <c r="P4" s="4">
        <f>O4+((O5-O4)/(N5-N4))*(2-1)</f>
        <v>0.46199999999999997</v>
      </c>
      <c r="Q4" s="3">
        <f>O4</f>
        <v>0</v>
      </c>
      <c r="R4" s="8">
        <f>Q4+Q5*(2-N4)+Q6*(2-N4)*(2-N5)</f>
        <v>0.56559999999999988</v>
      </c>
      <c r="T4" s="4">
        <v>0</v>
      </c>
      <c r="U4" s="4">
        <v>1</v>
      </c>
      <c r="V4" s="4">
        <v>0</v>
      </c>
      <c r="W4" s="8">
        <f>(V5-V4)/(U5-U4)</f>
        <v>0.46199999999999997</v>
      </c>
      <c r="X4" s="8">
        <f>(W5-W4)/(U6-U4)</f>
        <v>-5.9499999999999942E-2</v>
      </c>
      <c r="Y4" s="8">
        <f>(X5-X4)/(U7-U4)</f>
        <v>7.6999999999999621E-3</v>
      </c>
    </row>
    <row r="5" spans="2:25" x14ac:dyDescent="0.25">
      <c r="B5" s="4">
        <v>1</v>
      </c>
      <c r="C5" s="4">
        <v>4</v>
      </c>
      <c r="D5" s="4">
        <v>1.3859999999999999</v>
      </c>
      <c r="E5" s="4"/>
      <c r="M5" s="4">
        <v>1</v>
      </c>
      <c r="N5" s="4">
        <v>4</v>
      </c>
      <c r="O5" s="4">
        <v>1.3859999999999999</v>
      </c>
      <c r="P5" s="4"/>
      <c r="Q5" s="3">
        <f>(O5-O4)/(N5-N4)</f>
        <v>0.46199999999999997</v>
      </c>
      <c r="R5" s="4"/>
      <c r="T5" s="4">
        <v>1</v>
      </c>
      <c r="U5" s="4">
        <v>4</v>
      </c>
      <c r="V5" s="4">
        <v>1.3859999999999999</v>
      </c>
      <c r="W5" s="8">
        <f>(V6-V5)/(U6-U5)</f>
        <v>0.2240000000000002</v>
      </c>
      <c r="X5" s="8">
        <f>(W6-W5)/(U7-U5)</f>
        <v>-2.100000000000013E-2</v>
      </c>
      <c r="Y5" s="4"/>
    </row>
    <row r="6" spans="2:25" x14ac:dyDescent="0.25">
      <c r="M6" s="4">
        <v>2</v>
      </c>
      <c r="N6" s="4">
        <v>6</v>
      </c>
      <c r="O6" s="4">
        <v>1.792</v>
      </c>
      <c r="P6" s="4"/>
      <c r="Q6" s="3">
        <f>(((O6-O4)/(N6-N4))-((O5-O4)/(N5-N4)))*(1/(N6-N5))</f>
        <v>-5.1799999999999985E-2</v>
      </c>
      <c r="R6" s="4"/>
      <c r="T6" s="4">
        <v>2</v>
      </c>
      <c r="U6" s="4">
        <v>5</v>
      </c>
      <c r="V6" s="4">
        <v>1.61</v>
      </c>
      <c r="W6" s="8">
        <f>(V7-V6)/(U7-U6)</f>
        <v>0.18199999999999994</v>
      </c>
      <c r="X6" s="6"/>
      <c r="Y6" s="4"/>
    </row>
    <row r="7" spans="2:25" x14ac:dyDescent="0.25">
      <c r="C7" s="5" t="s">
        <v>4</v>
      </c>
      <c r="D7" s="5" t="s">
        <v>5</v>
      </c>
      <c r="T7" s="4">
        <v>3</v>
      </c>
      <c r="U7" s="4">
        <v>6</v>
      </c>
      <c r="V7" s="4">
        <v>1.792</v>
      </c>
      <c r="W7" s="4"/>
      <c r="X7" s="4"/>
      <c r="Y7" s="4"/>
    </row>
    <row r="8" spans="2:25" x14ac:dyDescent="0.25">
      <c r="C8" s="4">
        <v>1</v>
      </c>
      <c r="D8" s="4">
        <f>$D$4+(($D$5-$D$4)/($C$5-$C$4))*(C8-$C$4)</f>
        <v>0</v>
      </c>
      <c r="N8" s="5" t="s">
        <v>4</v>
      </c>
      <c r="O8" s="5" t="s">
        <v>5</v>
      </c>
    </row>
    <row r="9" spans="2:25" x14ac:dyDescent="0.25">
      <c r="C9" s="4">
        <f>C8+0.1</f>
        <v>1.1000000000000001</v>
      </c>
      <c r="D9" s="4">
        <f t="shared" ref="D9:D38" si="0">$D$4+(($D$5-$D$4)/($C$5-$C$4))*(C9-$C$4)</f>
        <v>4.620000000000004E-2</v>
      </c>
      <c r="N9" s="4">
        <v>1</v>
      </c>
      <c r="O9" s="4">
        <f>$Q$4+$Q$5*(N9-$N$4)+$Q$6*(N9-$N$4)*(N9-$N$5)</f>
        <v>0</v>
      </c>
    </row>
    <row r="10" spans="2:25" x14ac:dyDescent="0.25">
      <c r="C10" s="4">
        <f t="shared" ref="C10:C38" si="1">C9+0.1</f>
        <v>1.2000000000000002</v>
      </c>
      <c r="D10" s="4">
        <f t="shared" si="0"/>
        <v>9.2400000000000079E-2</v>
      </c>
      <c r="N10" s="4">
        <f>N9+0.1</f>
        <v>1.1000000000000001</v>
      </c>
      <c r="O10" s="4">
        <f t="shared" ref="O10:O19" si="2">$Q$4+$Q$5*(N10-$N$4)+$Q$6*(N10-$N$4)*(N10-$N$5)</f>
        <v>6.1222000000000047E-2</v>
      </c>
    </row>
    <row r="11" spans="2:25" x14ac:dyDescent="0.25">
      <c r="C11" s="4">
        <f t="shared" si="1"/>
        <v>1.3000000000000003</v>
      </c>
      <c r="D11" s="4">
        <f t="shared" si="0"/>
        <v>0.13860000000000011</v>
      </c>
      <c r="N11" s="4">
        <f t="shared" ref="N11:N19" si="3">N10+0.1</f>
        <v>1.2000000000000002</v>
      </c>
      <c r="O11" s="4">
        <f t="shared" si="2"/>
        <v>0.1214080000000001</v>
      </c>
    </row>
    <row r="12" spans="2:25" x14ac:dyDescent="0.25">
      <c r="C12" s="4">
        <f t="shared" si="1"/>
        <v>1.4000000000000004</v>
      </c>
      <c r="D12" s="4">
        <f t="shared" si="0"/>
        <v>0.18480000000000016</v>
      </c>
      <c r="N12" s="4">
        <f t="shared" si="3"/>
        <v>1.3000000000000003</v>
      </c>
      <c r="O12" s="4">
        <f t="shared" si="2"/>
        <v>0.18055800000000014</v>
      </c>
    </row>
    <row r="13" spans="2:25" x14ac:dyDescent="0.25">
      <c r="C13" s="4">
        <f t="shared" si="1"/>
        <v>1.5000000000000004</v>
      </c>
      <c r="D13" s="4">
        <f t="shared" si="0"/>
        <v>0.23100000000000018</v>
      </c>
      <c r="N13" s="4">
        <f t="shared" si="3"/>
        <v>1.4000000000000004</v>
      </c>
      <c r="O13" s="4">
        <f t="shared" si="2"/>
        <v>0.23867200000000019</v>
      </c>
    </row>
    <row r="14" spans="2:25" x14ac:dyDescent="0.25">
      <c r="C14" s="4">
        <f t="shared" si="1"/>
        <v>1.6000000000000005</v>
      </c>
      <c r="D14" s="4">
        <f t="shared" si="0"/>
        <v>0.27720000000000022</v>
      </c>
      <c r="N14" s="4">
        <f t="shared" si="3"/>
        <v>1.5000000000000004</v>
      </c>
      <c r="O14" s="4">
        <f t="shared" si="2"/>
        <v>0.29575000000000018</v>
      </c>
    </row>
    <row r="15" spans="2:25" x14ac:dyDescent="0.25">
      <c r="C15" s="4">
        <f t="shared" si="1"/>
        <v>1.7000000000000006</v>
      </c>
      <c r="D15" s="4">
        <f t="shared" si="0"/>
        <v>0.32340000000000024</v>
      </c>
      <c r="N15" s="4">
        <f t="shared" si="3"/>
        <v>1.6000000000000005</v>
      </c>
      <c r="O15" s="4">
        <f t="shared" si="2"/>
        <v>0.35179200000000022</v>
      </c>
    </row>
    <row r="16" spans="2:25" x14ac:dyDescent="0.25">
      <c r="C16" s="4">
        <f t="shared" si="1"/>
        <v>1.8000000000000007</v>
      </c>
      <c r="D16" s="4">
        <f t="shared" si="0"/>
        <v>0.36960000000000032</v>
      </c>
      <c r="N16" s="4">
        <f t="shared" si="3"/>
        <v>1.7000000000000006</v>
      </c>
      <c r="O16" s="4">
        <f t="shared" si="2"/>
        <v>0.40679800000000027</v>
      </c>
    </row>
    <row r="17" spans="3:15" x14ac:dyDescent="0.25">
      <c r="C17" s="4">
        <f t="shared" si="1"/>
        <v>1.9000000000000008</v>
      </c>
      <c r="D17" s="4">
        <f t="shared" si="0"/>
        <v>0.41580000000000034</v>
      </c>
      <c r="N17" s="4">
        <f t="shared" si="3"/>
        <v>1.8000000000000007</v>
      </c>
      <c r="O17" s="4">
        <f t="shared" si="2"/>
        <v>0.46076800000000034</v>
      </c>
    </row>
    <row r="18" spans="3:15" x14ac:dyDescent="0.25">
      <c r="C18" s="4">
        <f t="shared" si="1"/>
        <v>2.0000000000000009</v>
      </c>
      <c r="D18" s="4">
        <f t="shared" si="0"/>
        <v>0.46200000000000035</v>
      </c>
      <c r="N18" s="4">
        <f t="shared" si="3"/>
        <v>1.9000000000000008</v>
      </c>
      <c r="O18" s="4">
        <f t="shared" si="2"/>
        <v>0.51370200000000033</v>
      </c>
    </row>
    <row r="19" spans="3:15" x14ac:dyDescent="0.25">
      <c r="C19" s="4">
        <f t="shared" si="1"/>
        <v>2.100000000000001</v>
      </c>
      <c r="D19" s="4">
        <f t="shared" si="0"/>
        <v>0.50820000000000043</v>
      </c>
      <c r="N19" s="4">
        <f t="shared" si="3"/>
        <v>2.0000000000000009</v>
      </c>
      <c r="O19" s="4">
        <f t="shared" si="2"/>
        <v>0.56560000000000032</v>
      </c>
    </row>
    <row r="20" spans="3:15" x14ac:dyDescent="0.25">
      <c r="C20" s="4">
        <f t="shared" si="1"/>
        <v>2.2000000000000011</v>
      </c>
      <c r="D20" s="4">
        <f t="shared" si="0"/>
        <v>0.55440000000000045</v>
      </c>
    </row>
    <row r="21" spans="3:15" x14ac:dyDescent="0.25">
      <c r="C21" s="4">
        <f t="shared" si="1"/>
        <v>2.3000000000000012</v>
      </c>
      <c r="D21" s="4">
        <f t="shared" si="0"/>
        <v>0.60060000000000047</v>
      </c>
    </row>
    <row r="22" spans="3:15" x14ac:dyDescent="0.25">
      <c r="C22" s="4">
        <f t="shared" si="1"/>
        <v>2.4000000000000012</v>
      </c>
      <c r="D22" s="4">
        <f t="shared" si="0"/>
        <v>0.64680000000000049</v>
      </c>
    </row>
    <row r="23" spans="3:15" x14ac:dyDescent="0.25">
      <c r="C23" s="4">
        <f t="shared" si="1"/>
        <v>2.5000000000000013</v>
      </c>
      <c r="D23" s="4">
        <f t="shared" si="0"/>
        <v>0.69300000000000062</v>
      </c>
    </row>
    <row r="24" spans="3:15" x14ac:dyDescent="0.25">
      <c r="C24" s="4">
        <f t="shared" si="1"/>
        <v>2.6000000000000014</v>
      </c>
      <c r="D24" s="4">
        <f t="shared" si="0"/>
        <v>0.73920000000000063</v>
      </c>
    </row>
    <row r="25" spans="3:15" x14ac:dyDescent="0.25">
      <c r="C25" s="4">
        <f t="shared" si="1"/>
        <v>2.7000000000000015</v>
      </c>
      <c r="D25" s="4">
        <f t="shared" si="0"/>
        <v>0.78540000000000065</v>
      </c>
    </row>
    <row r="26" spans="3:15" x14ac:dyDescent="0.25">
      <c r="C26" s="4">
        <f t="shared" si="1"/>
        <v>2.8000000000000016</v>
      </c>
      <c r="D26" s="4">
        <f t="shared" si="0"/>
        <v>0.83160000000000067</v>
      </c>
    </row>
    <row r="27" spans="3:15" x14ac:dyDescent="0.25">
      <c r="C27" s="4">
        <f t="shared" si="1"/>
        <v>2.9000000000000017</v>
      </c>
      <c r="D27" s="4">
        <f t="shared" si="0"/>
        <v>0.87780000000000069</v>
      </c>
    </row>
    <row r="28" spans="3:15" x14ac:dyDescent="0.25">
      <c r="C28" s="4">
        <f t="shared" si="1"/>
        <v>3.0000000000000018</v>
      </c>
      <c r="D28" s="4">
        <f t="shared" si="0"/>
        <v>0.92400000000000071</v>
      </c>
    </row>
    <row r="29" spans="3:15" x14ac:dyDescent="0.25">
      <c r="C29" s="4">
        <f t="shared" si="1"/>
        <v>3.1000000000000019</v>
      </c>
      <c r="D29" s="4">
        <f t="shared" si="0"/>
        <v>0.97020000000000084</v>
      </c>
    </row>
    <row r="30" spans="3:15" x14ac:dyDescent="0.25">
      <c r="C30" s="4">
        <f t="shared" si="1"/>
        <v>3.200000000000002</v>
      </c>
      <c r="D30" s="4">
        <f t="shared" si="0"/>
        <v>1.0164000000000009</v>
      </c>
    </row>
    <row r="31" spans="3:15" x14ac:dyDescent="0.25">
      <c r="C31" s="4">
        <f t="shared" si="1"/>
        <v>3.300000000000002</v>
      </c>
      <c r="D31" s="4">
        <f t="shared" si="0"/>
        <v>1.0626000000000009</v>
      </c>
    </row>
    <row r="32" spans="3:15" x14ac:dyDescent="0.25">
      <c r="C32" s="4">
        <f t="shared" si="1"/>
        <v>3.4000000000000021</v>
      </c>
      <c r="D32" s="4">
        <f t="shared" si="0"/>
        <v>1.1088000000000009</v>
      </c>
    </row>
    <row r="33" spans="3:4" x14ac:dyDescent="0.25">
      <c r="C33" s="4">
        <f t="shared" si="1"/>
        <v>3.5000000000000022</v>
      </c>
      <c r="D33" s="4">
        <f t="shared" si="0"/>
        <v>1.1550000000000009</v>
      </c>
    </row>
    <row r="34" spans="3:4" x14ac:dyDescent="0.25">
      <c r="C34" s="4">
        <f t="shared" si="1"/>
        <v>3.6000000000000023</v>
      </c>
      <c r="D34" s="4">
        <f t="shared" si="0"/>
        <v>1.2012000000000009</v>
      </c>
    </row>
    <row r="35" spans="3:4" x14ac:dyDescent="0.25">
      <c r="C35" s="4">
        <f t="shared" si="1"/>
        <v>3.7000000000000024</v>
      </c>
      <c r="D35" s="4">
        <f t="shared" si="0"/>
        <v>1.247400000000001</v>
      </c>
    </row>
    <row r="36" spans="3:4" x14ac:dyDescent="0.25">
      <c r="C36" s="4">
        <f t="shared" si="1"/>
        <v>3.8000000000000025</v>
      </c>
      <c r="D36" s="4">
        <f t="shared" si="0"/>
        <v>1.293600000000001</v>
      </c>
    </row>
    <row r="37" spans="3:4" x14ac:dyDescent="0.25">
      <c r="C37" s="4">
        <f t="shared" si="1"/>
        <v>3.9000000000000026</v>
      </c>
      <c r="D37" s="4">
        <f t="shared" si="0"/>
        <v>1.339800000000001</v>
      </c>
    </row>
    <row r="38" spans="3:4" x14ac:dyDescent="0.25">
      <c r="C38" s="4">
        <f t="shared" si="1"/>
        <v>4.0000000000000027</v>
      </c>
      <c r="D38" s="4">
        <f t="shared" si="0"/>
        <v>1.3860000000000012</v>
      </c>
    </row>
  </sheetData>
  <mergeCells count="3">
    <mergeCell ref="B2:E2"/>
    <mergeCell ref="M2:R2"/>
    <mergeCell ref="T2:Y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2026-10-16T07:08:29Z</dcterms:created>
  <dcterms:modified xsi:type="dcterms:W3CDTF">2026-10-16T08:17:02Z</dcterms:modified>
</cp:coreProperties>
</file>
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EED737AC-3347-418F-A5ED-70E1B914D579}" xr6:coauthVersionLast="47" xr6:coauthVersionMax="47" xr10:uidLastSave="{00000000-0000-0000-0000-000000000000}"/>
  <bookViews>
    <workbookView xWindow="-120" yWindow="-120" windowWidth="21840" windowHeight="13140" xr2:uid="{155D7AAC-361A-4F03-9358-293DFBD474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1" i="1" l="1"/>
  <c r="C62" i="1" s="1"/>
  <c r="D61" i="1"/>
  <c r="H61" i="1" s="1"/>
  <c r="G61" i="1"/>
  <c r="C54" i="1"/>
  <c r="C55" i="1" s="1"/>
  <c r="D54" i="1"/>
  <c r="H54" i="1" s="1"/>
  <c r="G54" i="1"/>
  <c r="H53" i="1"/>
  <c r="I53" i="1"/>
  <c r="G53" i="1"/>
  <c r="E53" i="1"/>
  <c r="D53" i="1"/>
  <c r="C53" i="1"/>
  <c r="C31" i="1"/>
  <c r="D31" i="1" s="1"/>
  <c r="H13" i="1"/>
  <c r="F13" i="1"/>
  <c r="J13" i="1" s="1"/>
  <c r="E13" i="1"/>
  <c r="F14" i="1" s="1"/>
  <c r="J14" i="1" s="1"/>
  <c r="D13" i="1"/>
  <c r="C14" i="1" s="1"/>
  <c r="C13" i="1"/>
  <c r="D14" i="1" s="1"/>
  <c r="D62" i="1" l="1"/>
  <c r="G62" i="1"/>
  <c r="E61" i="1"/>
  <c r="D55" i="1"/>
  <c r="G55" i="1"/>
  <c r="E54" i="1"/>
  <c r="H14" i="1"/>
  <c r="G14" i="1"/>
  <c r="H31" i="1"/>
  <c r="E31" i="1"/>
  <c r="I31" i="1" s="1"/>
  <c r="G13" i="1"/>
  <c r="G31" i="1"/>
  <c r="I13" i="1"/>
  <c r="E14" i="1"/>
  <c r="E15" i="1"/>
  <c r="D63" i="1" l="1"/>
  <c r="H62" i="1"/>
  <c r="C63" i="1"/>
  <c r="E62" i="1"/>
  <c r="I61" i="1"/>
  <c r="D56" i="1"/>
  <c r="H55" i="1"/>
  <c r="C56" i="1"/>
  <c r="E55" i="1"/>
  <c r="I54" i="1"/>
  <c r="F15" i="1"/>
  <c r="J15" i="1" s="1"/>
  <c r="I14" i="1"/>
  <c r="I15" i="1"/>
  <c r="F31" i="1"/>
  <c r="J31" i="1" s="1"/>
  <c r="D15" i="1"/>
  <c r="H15" i="1" s="1"/>
  <c r="C32" i="1"/>
  <c r="C15" i="1"/>
  <c r="D16" i="1"/>
  <c r="C16" i="1"/>
  <c r="H63" i="1" l="1"/>
  <c r="I62" i="1"/>
  <c r="E63" i="1"/>
  <c r="G63" i="1"/>
  <c r="C64" i="1"/>
  <c r="H56" i="1"/>
  <c r="I55" i="1"/>
  <c r="E56" i="1"/>
  <c r="G56" i="1"/>
  <c r="C57" i="1"/>
  <c r="F16" i="1"/>
  <c r="J16" i="1" s="1"/>
  <c r="G15" i="1"/>
  <c r="E16" i="1"/>
  <c r="I16" i="1" s="1"/>
  <c r="D32" i="1"/>
  <c r="G32" i="1"/>
  <c r="D17" i="1"/>
  <c r="E17" i="1"/>
  <c r="I17" i="1" s="1"/>
  <c r="G16" i="1"/>
  <c r="H16" i="1"/>
  <c r="F17" i="1"/>
  <c r="J17" i="1" s="1"/>
  <c r="C17" i="1"/>
  <c r="G64" i="1" l="1"/>
  <c r="I63" i="1"/>
  <c r="D64" i="1"/>
  <c r="C58" i="1"/>
  <c r="G57" i="1"/>
  <c r="D57" i="1"/>
  <c r="E57" i="1"/>
  <c r="I56" i="1"/>
  <c r="C33" i="1"/>
  <c r="H32" i="1"/>
  <c r="E32" i="1"/>
  <c r="I32" i="1" s="1"/>
  <c r="D18" i="1"/>
  <c r="E18" i="1"/>
  <c r="I18" i="1" s="1"/>
  <c r="G17" i="1"/>
  <c r="H17" i="1"/>
  <c r="F18" i="1"/>
  <c r="J18" i="1" s="1"/>
  <c r="C18" i="1"/>
  <c r="D65" i="1" l="1"/>
  <c r="H65" i="1" s="1"/>
  <c r="H64" i="1"/>
  <c r="E64" i="1"/>
  <c r="C65" i="1"/>
  <c r="G65" i="1" s="1"/>
  <c r="G58" i="1"/>
  <c r="C59" i="1"/>
  <c r="I57" i="1"/>
  <c r="D58" i="1"/>
  <c r="H57" i="1"/>
  <c r="G33" i="1"/>
  <c r="F32" i="1"/>
  <c r="J32" i="1" s="1"/>
  <c r="D19" i="1"/>
  <c r="E19" i="1"/>
  <c r="I19" i="1" s="1"/>
  <c r="G18" i="1"/>
  <c r="H18" i="1"/>
  <c r="F19" i="1"/>
  <c r="J19" i="1" s="1"/>
  <c r="C19" i="1"/>
  <c r="I64" i="1" l="1"/>
  <c r="E65" i="1"/>
  <c r="I65" i="1" s="1"/>
  <c r="G59" i="1"/>
  <c r="H58" i="1"/>
  <c r="E58" i="1"/>
  <c r="D33" i="1"/>
  <c r="H19" i="1"/>
  <c r="F20" i="1"/>
  <c r="J20" i="1" s="1"/>
  <c r="C20" i="1"/>
  <c r="D20" i="1"/>
  <c r="E20" i="1"/>
  <c r="I20" i="1" s="1"/>
  <c r="G19" i="1"/>
  <c r="E59" i="1" l="1"/>
  <c r="I58" i="1"/>
  <c r="D59" i="1"/>
  <c r="F33" i="1"/>
  <c r="J33" i="1" s="1"/>
  <c r="H33" i="1"/>
  <c r="E33" i="1"/>
  <c r="I33" i="1" s="1"/>
  <c r="H20" i="1"/>
  <c r="F21" i="1"/>
  <c r="J21" i="1" s="1"/>
  <c r="C21" i="1"/>
  <c r="D21" i="1"/>
  <c r="E21" i="1"/>
  <c r="I21" i="1" s="1"/>
  <c r="G20" i="1"/>
  <c r="I59" i="1" l="1"/>
  <c r="H59" i="1"/>
  <c r="C60" i="1"/>
  <c r="G60" i="1" s="1"/>
  <c r="C34" i="1"/>
  <c r="H21" i="1"/>
  <c r="F22" i="1"/>
  <c r="J22" i="1" s="1"/>
  <c r="C22" i="1"/>
  <c r="D22" i="1"/>
  <c r="E22" i="1"/>
  <c r="I22" i="1" s="1"/>
  <c r="G21" i="1"/>
  <c r="D60" i="1" l="1"/>
  <c r="G34" i="1"/>
  <c r="D34" i="1"/>
  <c r="E34" i="1"/>
  <c r="I34" i="1" s="1"/>
  <c r="H22" i="1"/>
  <c r="F23" i="1"/>
  <c r="J23" i="1" s="1"/>
  <c r="C23" i="1"/>
  <c r="D23" i="1"/>
  <c r="E23" i="1"/>
  <c r="I23" i="1" s="1"/>
  <c r="G22" i="1"/>
  <c r="H60" i="1" l="1"/>
  <c r="E60" i="1"/>
  <c r="I60" i="1" s="1"/>
  <c r="H34" i="1"/>
  <c r="C35" i="1"/>
  <c r="F34" i="1"/>
  <c r="J34" i="1" s="1"/>
  <c r="H23" i="1"/>
  <c r="F24" i="1"/>
  <c r="J24" i="1" s="1"/>
  <c r="C24" i="1"/>
  <c r="D24" i="1"/>
  <c r="E24" i="1"/>
  <c r="I24" i="1" s="1"/>
  <c r="G23" i="1"/>
  <c r="D35" i="1" l="1"/>
  <c r="G35" i="1"/>
  <c r="H24" i="1"/>
  <c r="F25" i="1"/>
  <c r="J25" i="1" s="1"/>
  <c r="C25" i="1"/>
  <c r="G25" i="1" s="1"/>
  <c r="D25" i="1"/>
  <c r="H25" i="1" s="1"/>
  <c r="E25" i="1"/>
  <c r="I25" i="1" s="1"/>
  <c r="G24" i="1"/>
  <c r="E35" i="1" l="1"/>
  <c r="I35" i="1" s="1"/>
  <c r="H35" i="1"/>
  <c r="C36" i="1"/>
  <c r="F35" i="1"/>
  <c r="J35" i="1" s="1"/>
  <c r="G36" i="1" l="1"/>
  <c r="D36" i="1"/>
  <c r="E36" i="1"/>
  <c r="I36" i="1" s="1"/>
  <c r="H36" i="1" l="1"/>
  <c r="C37" i="1"/>
  <c r="F36" i="1"/>
  <c r="J36" i="1" s="1"/>
  <c r="D37" i="1" l="1"/>
  <c r="G37" i="1"/>
  <c r="E37" i="1"/>
  <c r="I37" i="1" s="1"/>
  <c r="C38" i="1" l="1"/>
  <c r="H37" i="1"/>
  <c r="F37" i="1"/>
  <c r="J37" i="1" s="1"/>
  <c r="G38" i="1" l="1"/>
  <c r="D38" i="1"/>
  <c r="C39" i="1" l="1"/>
  <c r="H38" i="1"/>
  <c r="E38" i="1"/>
  <c r="I38" i="1" s="1"/>
  <c r="G39" i="1" l="1"/>
  <c r="F38" i="1"/>
  <c r="J38" i="1" s="1"/>
  <c r="D39" i="1" l="1"/>
  <c r="H39" i="1" l="1"/>
  <c r="E39" i="1"/>
  <c r="I39" i="1" s="1"/>
  <c r="F39" i="1" l="1"/>
  <c r="J39" i="1" s="1"/>
  <c r="C40" i="1"/>
  <c r="G40" i="1" l="1"/>
  <c r="D40" i="1"/>
  <c r="E40" i="1"/>
  <c r="I40" i="1" s="1"/>
  <c r="H40" i="1" l="1"/>
  <c r="C41" i="1"/>
  <c r="F40" i="1"/>
  <c r="J40" i="1" s="1"/>
  <c r="G41" i="1" l="1"/>
  <c r="D41" i="1"/>
  <c r="E41" i="1" l="1"/>
  <c r="I41" i="1" s="1"/>
  <c r="C42" i="1"/>
  <c r="H41" i="1"/>
  <c r="D42" i="1" l="1"/>
  <c r="E42" i="1" s="1"/>
  <c r="I42" i="1" s="1"/>
  <c r="G42" i="1"/>
  <c r="F41" i="1"/>
  <c r="J41" i="1" s="1"/>
  <c r="H42" i="1" l="1"/>
  <c r="F42" i="1"/>
  <c r="J42" i="1" s="1"/>
  <c r="C43" i="1"/>
  <c r="D43" i="1" l="1"/>
  <c r="G43" i="1"/>
  <c r="E43" i="1"/>
  <c r="I43" i="1" s="1"/>
  <c r="H43" i="1" l="1"/>
  <c r="F43" i="1"/>
  <c r="J43" i="1" s="1"/>
</calcChain>
</file>

<file path=xl/sharedStrings.xml><?xml version="1.0" encoding="utf-8"?>
<sst xmlns="http://schemas.openxmlformats.org/spreadsheetml/2006/main" count="50" uniqueCount="25">
  <si>
    <t>Sistem Persamaan Linier</t>
  </si>
  <si>
    <t>Metode Jacobi</t>
  </si>
  <si>
    <t>10x1 - x2 +2x3 = 6</t>
  </si>
  <si>
    <t>(-x_1) + 11x_2 - x_3 + 3x_4 = 25</t>
  </si>
  <si>
    <t>2x1 + x2 + 10x3 - x4 = -11</t>
  </si>
  <si>
    <t>3x2 - x3 + 8x4 = 15</t>
  </si>
  <si>
    <t>Iterasi</t>
  </si>
  <si>
    <t>x1</t>
  </si>
  <si>
    <t>x2</t>
  </si>
  <si>
    <t>x3</t>
  </si>
  <si>
    <t>x4</t>
  </si>
  <si>
    <t>Solusi</t>
  </si>
  <si>
    <t>&gt;&gt;</t>
  </si>
  <si>
    <t>Galat</t>
  </si>
  <si>
    <t>x1 = (6 + x2 - 2x3)/10</t>
  </si>
  <si>
    <t>x2 = (25 + x1 + x3 - 3x4)/10</t>
  </si>
  <si>
    <t>Metode Gauss - Seidel</t>
  </si>
  <si>
    <t>x3 = (-11 - 2x1 +  x2 + x4)/10</t>
  </si>
  <si>
    <t>x4 = (15 - 3x2 - x3)/8</t>
  </si>
  <si>
    <t>Metode Succsesive Over-relactation</t>
  </si>
  <si>
    <t>4x1 + 3x2 = 24</t>
  </si>
  <si>
    <t>3x1 + 4x2 - x3 = 30</t>
  </si>
  <si>
    <t>(-x2) + 4 x3 = -24</t>
  </si>
  <si>
    <t>&amp;</t>
  </si>
  <si>
    <t>w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</si>
</sst>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1" applyFont="1" applyFill="1" applyBorder="1"/>
    <xf numFmtId="0" fontId="0" fillId="2" borderId="5" xfId="0" applyFill="1" applyBorder="1" applyAlignment="1">
      <alignment horizontal="center" vertical="center"/>
    </xf>
    <xf numFmtId="9" fontId="0" fillId="2" borderId="6" xfId="1" applyFont="1" applyFill="1" applyBorder="1"/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9" fontId="0" fillId="2" borderId="8" xfId="1" applyFont="1" applyFill="1" applyBorder="1"/>
    <xf numFmtId="9" fontId="0" fillId="2" borderId="9" xfId="1" applyFont="1" applyFill="1" applyBorder="1"/>
    <xf numFmtId="0" fontId="0" fillId="4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4" borderId="6" xfId="0" applyFill="1" applyBorder="1"/>
    <xf numFmtId="9" fontId="0" fillId="4" borderId="1" xfId="1" applyFont="1" applyFill="1" applyBorder="1"/>
    <xf numFmtId="9" fontId="0" fillId="4" borderId="6" xfId="1" applyFont="1" applyFill="1" applyBorder="1"/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6" xfId="0" applyFill="1" applyBorder="1"/>
    <xf numFmtId="9" fontId="0" fillId="6" borderId="1" xfId="1" applyFont="1" applyFill="1" applyBorder="1"/>
    <xf numFmtId="9" fontId="0" fillId="6" borderId="6" xfId="1" applyFont="1" applyFill="1" applyBorder="1"/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6" xfId="0" applyFill="1" applyBorder="1"/>
    <xf numFmtId="9" fontId="0" fillId="8" borderId="1" xfId="1" applyFont="1" applyFill="1" applyBorder="1"/>
    <xf numFmtId="9" fontId="0" fillId="8" borderId="6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Jacobi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Sheet1!$C$12:$C$20</c:f>
              <c:numCache>
                <c:formatCode>General</c:formatCode>
                <c:ptCount val="9"/>
                <c:pt idx="0">
                  <c:v>0</c:v>
                </c:pt>
                <c:pt idx="1">
                  <c:v>0.6</c:v>
                </c:pt>
                <c:pt idx="2">
                  <c:v>1.0472727272727274</c:v>
                </c:pt>
                <c:pt idx="3">
                  <c:v>0.9326363636363636</c:v>
                </c:pt>
                <c:pt idx="4">
                  <c:v>1.0151987603305785</c:v>
                </c:pt>
                <c:pt idx="5">
                  <c:v>0.98899130165289262</c:v>
                </c:pt>
                <c:pt idx="6">
                  <c:v>1.003198653362134</c:v>
                </c:pt>
                <c:pt idx="7">
                  <c:v>0.99812847341754318</c:v>
                </c:pt>
                <c:pt idx="8">
                  <c:v>1.0006251342791859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E1-44A1-A457-D3C2C21D2327}"/>
            </c:ext>
          </c:extLst>
        </c:ser>
        <c:ser>
          <c:idx val="1"/>
          <c:order val="1"/>
          <c:tx>
            <c:v>x2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Sheet1!$D$12:$D$20</c:f>
              <c:numCache>
                <c:formatCode>General</c:formatCode>
                <c:ptCount val="9"/>
                <c:pt idx="0">
                  <c:v>0</c:v>
                </c:pt>
                <c:pt idx="1">
                  <c:v>2.2727272727272729</c:v>
                </c:pt>
                <c:pt idx="2">
                  <c:v>1.7159090909090908</c:v>
                </c:pt>
                <c:pt idx="3">
                  <c:v>2.0533057851239671</c:v>
                </c:pt>
                <c:pt idx="4">
                  <c:v>1.9536957644628101</c:v>
                </c:pt>
                <c:pt idx="5">
                  <c:v>2.0114147257700976</c:v>
                </c:pt>
                <c:pt idx="6">
                  <c:v>1.9922412606827571</c:v>
                </c:pt>
                <c:pt idx="7">
                  <c:v>2.0023068815526606</c:v>
                </c:pt>
                <c:pt idx="8">
                  <c:v>1.9986703011223563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E1-44A1-A457-D3C2C21D2327}"/>
            </c:ext>
          </c:extLst>
        </c:ser>
        <c:ser>
          <c:idx val="2"/>
          <c:order val="2"/>
          <c:tx>
            <c:v>x3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Sheet1!$E$12:$E$20</c:f>
              <c:numCache>
                <c:formatCode>General</c:formatCode>
                <c:ptCount val="9"/>
                <c:pt idx="0">
                  <c:v>0</c:v>
                </c:pt>
                <c:pt idx="1">
                  <c:v>-1.1000000000000001</c:v>
                </c:pt>
                <c:pt idx="2">
                  <c:v>-0.80522727272727257</c:v>
                </c:pt>
                <c:pt idx="3">
                  <c:v>-1.0493409090909092</c:v>
                </c:pt>
                <c:pt idx="4">
                  <c:v>-0.9681086260330577</c:v>
                </c:pt>
                <c:pt idx="5">
                  <c:v>-1.0102859039256198</c:v>
                </c:pt>
                <c:pt idx="6">
                  <c:v>-0.99452173674633748</c:v>
                </c:pt>
                <c:pt idx="7">
                  <c:v>-1.0019722306195997</c:v>
                </c:pt>
                <c:pt idx="8">
                  <c:v>-0.99903557551317501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E1-44A1-A457-D3C2C21D2327}"/>
            </c:ext>
          </c:extLst>
        </c:ser>
        <c:ser>
          <c:idx val="3"/>
          <c:order val="3"/>
          <c:tx>
            <c:v>x4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Sheet1!$F$12:$F$20</c:f>
              <c:numCache>
                <c:formatCode>General</c:formatCode>
                <c:ptCount val="9"/>
                <c:pt idx="0">
                  <c:v>0</c:v>
                </c:pt>
                <c:pt idx="1">
                  <c:v>1.875</c:v>
                </c:pt>
                <c:pt idx="2">
                  <c:v>0.88522727272727275</c:v>
                </c:pt>
                <c:pt idx="3">
                  <c:v>1.1308806818181818</c:v>
                </c:pt>
                <c:pt idx="4">
                  <c:v>0.97384271694214875</c:v>
                </c:pt>
                <c:pt idx="5">
                  <c:v>1.0213505100723141</c:v>
                </c:pt>
                <c:pt idx="6">
                  <c:v>0.99443373984551098</c:v>
                </c:pt>
                <c:pt idx="7">
                  <c:v>1.0035943101506739</c:v>
                </c:pt>
                <c:pt idx="8">
                  <c:v>0.99888839059030232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5E1-44A1-A457-D3C2C21D2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283791"/>
        <c:axId val="1214878719"/>
      </c:lineChart>
      <c:catAx>
        <c:axId val="1258283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78719"/>
        <c:crosses val="autoZero"/>
        <c:auto val="1"/>
        <c:lblAlgn val="ctr"/>
        <c:lblOffset val="100"/>
        <c:noMultiLvlLbl val="0"/>
      </c:catAx>
      <c:valAx>
        <c:axId val="121487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8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Gauss -Seidel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Sheet1!$C$30:$C$35</c:f>
              <c:numCache>
                <c:formatCode>General</c:formatCode>
                <c:ptCount val="6"/>
                <c:pt idx="0">
                  <c:v>0</c:v>
                </c:pt>
                <c:pt idx="1">
                  <c:v>0.6</c:v>
                </c:pt>
                <c:pt idx="2">
                  <c:v>1.0301818181818183</c:v>
                </c:pt>
                <c:pt idx="3">
                  <c:v>1.0065850413223141</c:v>
                </c:pt>
                <c:pt idx="4">
                  <c:v>1.0008609786250939</c:v>
                </c:pt>
                <c:pt idx="5">
                  <c:v>1.0000912802859949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0D4-42A5-99E5-F77239505170}"/>
            </c:ext>
          </c:extLst>
        </c:ser>
        <c:ser>
          <c:idx val="1"/>
          <c:order val="1"/>
          <c:tx>
            <c:v>x2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Sheet1!$D$30:$D$35</c:f>
              <c:numCache>
                <c:formatCode>General</c:formatCode>
                <c:ptCount val="6"/>
                <c:pt idx="0">
                  <c:v>0</c:v>
                </c:pt>
                <c:pt idx="1">
                  <c:v>2.3272727272727276</c:v>
                </c:pt>
                <c:pt idx="2">
                  <c:v>2.0369380165289255</c:v>
                </c:pt>
                <c:pt idx="3">
                  <c:v>2.003555016904583</c:v>
                </c:pt>
                <c:pt idx="4">
                  <c:v>2.000298250656547</c:v>
                </c:pt>
                <c:pt idx="5">
                  <c:v>2.000021342246459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0D4-42A5-99E5-F77239505170}"/>
            </c:ext>
          </c:extLst>
        </c:ser>
        <c:ser>
          <c:idx val="2"/>
          <c:order val="2"/>
          <c:tx>
            <c:v>x3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Sheet1!$E$30:$E$35</c:f>
              <c:numCache>
                <c:formatCode>General</c:formatCode>
                <c:ptCount val="6"/>
                <c:pt idx="0">
                  <c:v>0</c:v>
                </c:pt>
                <c:pt idx="1">
                  <c:v>-0.98727272727272708</c:v>
                </c:pt>
                <c:pt idx="2">
                  <c:v>-1.0144561983471074</c:v>
                </c:pt>
                <c:pt idx="3">
                  <c:v>-1.0025273846731779</c:v>
                </c:pt>
                <c:pt idx="4">
                  <c:v>-1.0003072761017007</c:v>
                </c:pt>
                <c:pt idx="5">
                  <c:v>-1.0000311471834449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0D4-42A5-99E5-F77239505170}"/>
            </c:ext>
          </c:extLst>
        </c:ser>
        <c:ser>
          <c:idx val="3"/>
          <c:order val="3"/>
          <c:tx>
            <c:v>x4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Sheet1!$F$30:$F$35</c:f>
              <c:numCache>
                <c:formatCode>General</c:formatCode>
                <c:ptCount val="6"/>
                <c:pt idx="0">
                  <c:v>0</c:v>
                </c:pt>
                <c:pt idx="1">
                  <c:v>0.87886363636363629</c:v>
                </c:pt>
                <c:pt idx="2">
                  <c:v>0.98434121900826443</c:v>
                </c:pt>
                <c:pt idx="3">
                  <c:v>0.99835094557663417</c:v>
                </c:pt>
                <c:pt idx="4">
                  <c:v>0.99984974649108227</c:v>
                </c:pt>
                <c:pt idx="5">
                  <c:v>0.99998810325964727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0D4-42A5-99E5-F77239505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6509727"/>
        <c:axId val="1214885919"/>
      </c:lineChart>
      <c:catAx>
        <c:axId val="1306509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85919"/>
        <c:crosses val="autoZero"/>
        <c:auto val="1"/>
        <c:lblAlgn val="ctr"/>
        <c:lblOffset val="100"/>
        <c:noMultiLvlLbl val="0"/>
      </c:catAx>
      <c:valAx>
        <c:axId val="1214885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50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Succsesive Over-relactation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Sheet1!$C$52:$C$59</c:f>
              <c:numCache>
                <c:formatCode>General</c:formatCode>
                <c:ptCount val="8"/>
                <c:pt idx="0">
                  <c:v>0</c:v>
                </c:pt>
                <c:pt idx="1">
                  <c:v>7.5</c:v>
                </c:pt>
                <c:pt idx="2">
                  <c:v>3.427734375</c:v>
                </c:pt>
                <c:pt idx="3">
                  <c:v>3.3986663818359375</c:v>
                </c:pt>
                <c:pt idx="4">
                  <c:v>3.044237494468689</c:v>
                </c:pt>
                <c:pt idx="5">
                  <c:v>3.0259199207648635</c:v>
                </c:pt>
                <c:pt idx="6">
                  <c:v>3.0021489591672434</c:v>
                </c:pt>
                <c:pt idx="7">
                  <c:v>3.0012637832223277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6A9-415B-8434-07FBA8DA2612}"/>
            </c:ext>
          </c:extLst>
        </c:ser>
        <c:ser>
          <c:idx val="1"/>
          <c:order val="1"/>
          <c:tx>
            <c:v>x2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Sheet1!$D$52:$D$59</c:f>
              <c:numCache>
                <c:formatCode>General</c:formatCode>
                <c:ptCount val="8"/>
                <c:pt idx="0">
                  <c:v>0</c:v>
                </c:pt>
                <c:pt idx="1">
                  <c:v>2.34375</c:v>
                </c:pt>
                <c:pt idx="2">
                  <c:v>3.460693359375</c:v>
                </c:pt>
                <c:pt idx="3">
                  <c:v>3.8465023040771484</c:v>
                </c:pt>
                <c:pt idx="4">
                  <c:v>3.9605554193258286</c:v>
                </c:pt>
                <c:pt idx="5">
                  <c:v>3.9907957980176434</c:v>
                </c:pt>
                <c:pt idx="6">
                  <c:v>3.9980789087849189</c:v>
                </c:pt>
                <c:pt idx="7">
                  <c:v>3.9996597425917102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6A9-415B-8434-07FBA8DA2612}"/>
            </c:ext>
          </c:extLst>
        </c:ser>
        <c:ser>
          <c:idx val="2"/>
          <c:order val="2"/>
          <c:tx>
            <c:v>x3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Sheet1!$E$52:$E$59</c:f>
              <c:numCache>
                <c:formatCode>General</c:formatCode>
                <c:ptCount val="8"/>
                <c:pt idx="0">
                  <c:v>0</c:v>
                </c:pt>
                <c:pt idx="1">
                  <c:v>-6.767578125</c:v>
                </c:pt>
                <c:pt idx="2">
                  <c:v>-4.7266387939453125</c:v>
                </c:pt>
                <c:pt idx="3">
                  <c:v>-5.116308331489563</c:v>
                </c:pt>
                <c:pt idx="4">
                  <c:v>-4.9832493485882878</c:v>
                </c:pt>
                <c:pt idx="5">
                  <c:v>-5.0070639759724145</c:v>
                </c:pt>
                <c:pt idx="6">
                  <c:v>-4.9988343470116092</c:v>
                </c:pt>
                <c:pt idx="7">
                  <c:v>-5.0003977436871878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6A9-415B-8434-07FBA8DA2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183279"/>
        <c:axId val="737768447"/>
      </c:lineChart>
      <c:catAx>
        <c:axId val="1321183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68447"/>
        <c:crosses val="autoZero"/>
        <c:auto val="1"/>
        <c:lblAlgn val="ctr"/>
        <c:lblOffset val="100"/>
        <c:noMultiLvlLbl val="0"/>
      </c:catAx>
      <c:valAx>
        <c:axId val="73776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18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11</xdr:row>
      <xdr:rowOff>23812</xdr:rowOff>
    </xdr:from>
    <xdr:to>
      <xdr:col>16</xdr:col>
      <xdr:colOff>590550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61AE0C-90A5-960B-EC99-29F0056B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285750</xdr:colOff>
      <xdr:row>27</xdr:row>
      <xdr:rowOff>71437</xdr:rowOff>
    </xdr:from>
    <xdr:to>
      <xdr:col>17</xdr:col>
      <xdr:colOff>590550</xdr:colOff>
      <xdr:row>41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990289-94A8-8F7E-9E72-CD6FEF6079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276225</xdr:colOff>
      <xdr:row>48</xdr:row>
      <xdr:rowOff>138112</xdr:rowOff>
    </xdr:from>
    <xdr:to>
      <xdr:col>17</xdr:col>
      <xdr:colOff>581025</xdr:colOff>
      <xdr:row>63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53760B-C659-C986-DCA8-8982E5F61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9EDA3-ACF3-46CC-817C-3D13EBBAA8AE}">
  <dimension ref="B2:J65"/>
  <sheetViews>
    <sheetView tabSelected="1" workbookViewId="0">
      <selection activeCell="E12" sqref="E12"/>
    </sheetView>
  </sheetViews>
  <sheetFormatPr defaultRowHeight="15" x14ac:dyDescent="0.25"/>
  <sheetData>
    <row r="2" spans="2:10" ht="15" customHeight="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ht="15" customHeight="1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s="2" customFormat="1" ht="12.75" customHeight="1" x14ac:dyDescent="0.25">
      <c r="B4" s="4" t="s">
        <v>2</v>
      </c>
      <c r="C4" s="4"/>
      <c r="D4" s="4"/>
      <c r="E4" s="4"/>
      <c r="F4" s="5" t="s">
        <v>12</v>
      </c>
      <c r="G4" s="43" t="s">
        <v>14</v>
      </c>
      <c r="H4" s="43"/>
      <c r="I4" s="43"/>
      <c r="J4" s="43"/>
    </row>
    <row r="5" spans="2:10" s="2" customFormat="1" ht="12.75" customHeight="1" x14ac:dyDescent="0.25">
      <c r="B5" s="4" t="s">
        <v>3</v>
      </c>
      <c r="C5" s="4"/>
      <c r="D5" s="4"/>
      <c r="E5" s="4"/>
      <c r="F5" s="5"/>
      <c r="G5" s="42" t="s">
        <v>15</v>
      </c>
      <c r="H5" s="42"/>
      <c r="I5" s="42"/>
      <c r="J5" s="42"/>
    </row>
    <row r="6" spans="2:10" s="2" customFormat="1" ht="12.75" customHeight="1" x14ac:dyDescent="0.25">
      <c r="B6" s="4" t="s">
        <v>4</v>
      </c>
      <c r="C6" s="4"/>
      <c r="D6" s="4"/>
      <c r="E6" s="4"/>
      <c r="F6" s="5"/>
      <c r="G6" s="42" t="s">
        <v>17</v>
      </c>
      <c r="H6" s="42"/>
      <c r="I6" s="42"/>
      <c r="J6" s="42"/>
    </row>
    <row r="7" spans="2:10" s="2" customFormat="1" ht="12.75" customHeight="1" x14ac:dyDescent="0.25">
      <c r="B7" s="4" t="s">
        <v>5</v>
      </c>
      <c r="C7" s="4"/>
      <c r="D7" s="4"/>
      <c r="E7" s="4"/>
      <c r="F7" s="5"/>
      <c r="G7" s="42" t="s">
        <v>18</v>
      </c>
      <c r="H7" s="42"/>
      <c r="I7" s="42"/>
      <c r="J7" s="42"/>
    </row>
    <row r="9" spans="2:10" x14ac:dyDescent="0.25">
      <c r="B9" s="20" t="s">
        <v>1</v>
      </c>
      <c r="C9" s="21"/>
      <c r="D9" s="21"/>
      <c r="E9" s="21"/>
      <c r="F9" s="21"/>
      <c r="G9" s="21"/>
      <c r="H9" s="21"/>
      <c r="I9" s="21"/>
      <c r="J9" s="22"/>
    </row>
    <row r="10" spans="2:10" x14ac:dyDescent="0.25">
      <c r="B10" s="23" t="s">
        <v>6</v>
      </c>
      <c r="C10" s="24" t="s">
        <v>11</v>
      </c>
      <c r="D10" s="24"/>
      <c r="E10" s="24"/>
      <c r="F10" s="24"/>
      <c r="G10" s="24" t="s">
        <v>13</v>
      </c>
      <c r="H10" s="24"/>
      <c r="I10" s="24"/>
      <c r="J10" s="25"/>
    </row>
    <row r="11" spans="2:10" x14ac:dyDescent="0.25">
      <c r="B11" s="26"/>
      <c r="C11" s="27" t="s">
        <v>7</v>
      </c>
      <c r="D11" s="27" t="s">
        <v>8</v>
      </c>
      <c r="E11" s="27" t="s">
        <v>9</v>
      </c>
      <c r="F11" s="27" t="s">
        <v>10</v>
      </c>
      <c r="G11" s="27" t="s">
        <v>7</v>
      </c>
      <c r="H11" s="27" t="s">
        <v>8</v>
      </c>
      <c r="I11" s="27" t="s">
        <v>9</v>
      </c>
      <c r="J11" s="28" t="s">
        <v>10</v>
      </c>
    </row>
    <row r="12" spans="2:10" x14ac:dyDescent="0.25">
      <c r="B12" s="14">
        <v>0</v>
      </c>
      <c r="C12" s="15">
        <v>0</v>
      </c>
      <c r="D12" s="15">
        <v>0</v>
      </c>
      <c r="E12" s="15">
        <v>0</v>
      </c>
      <c r="F12" s="15">
        <v>0</v>
      </c>
      <c r="G12" s="16"/>
      <c r="H12" s="16"/>
      <c r="I12" s="16"/>
      <c r="J12" s="17"/>
    </row>
    <row r="13" spans="2:10" x14ac:dyDescent="0.25">
      <c r="B13" s="14">
        <v>1</v>
      </c>
      <c r="C13" s="15">
        <f>(6+D12-2*E12)/10</f>
        <v>0.6</v>
      </c>
      <c r="D13" s="15">
        <f>(25+C12+E12-3*F12)/11</f>
        <v>2.2727272727272729</v>
      </c>
      <c r="E13" s="15">
        <f>(-11-2*C12+D12+F12)/10</f>
        <v>-1.1000000000000001</v>
      </c>
      <c r="F13" s="15">
        <f>(15-3*D12+E12)/8</f>
        <v>1.875</v>
      </c>
      <c r="G13" s="18">
        <f>ABS((C13-C12)/C13)</f>
        <v>1</v>
      </c>
      <c r="H13" s="18">
        <f t="shared" ref="H13:J13" si="0">ABS((D13-D12)/D13)</f>
        <v>1</v>
      </c>
      <c r="I13" s="18">
        <f t="shared" si="0"/>
        <v>1</v>
      </c>
      <c r="J13" s="19">
        <f t="shared" si="0"/>
        <v>1</v>
      </c>
    </row>
    <row r="14" spans="2:10" x14ac:dyDescent="0.25">
      <c r="B14" s="14">
        <v>2</v>
      </c>
      <c r="C14" s="15">
        <f t="shared" ref="C14:C25" si="1">(6+D13-2*E13)/10</f>
        <v>1.0472727272727274</v>
      </c>
      <c r="D14" s="15">
        <f t="shared" ref="D14:D25" si="2">(25+C13+E13-3*F13)/11</f>
        <v>1.7159090909090908</v>
      </c>
      <c r="E14" s="15">
        <f t="shared" ref="E14:E25" si="3">(-11-2*C13+D13+F13)/10</f>
        <v>-0.80522727272727257</v>
      </c>
      <c r="F14" s="15">
        <f t="shared" ref="F14:F25" si="4">(15-3*D13+E13)/8</f>
        <v>0.88522727272727275</v>
      </c>
      <c r="G14" s="18">
        <f t="shared" ref="G14:G25" si="5">ABS((C14-C13)/C14)</f>
        <v>0.42708333333333343</v>
      </c>
      <c r="H14" s="18">
        <f t="shared" ref="H14:H25" si="6">ABS((D14-D13)/D14)</f>
        <v>0.3245033112582783</v>
      </c>
      <c r="I14" s="18">
        <f t="shared" ref="I14:I25" si="7">ABS((E14-E13)/E14)</f>
        <v>0.36607394863110398</v>
      </c>
      <c r="J14" s="19">
        <f t="shared" ref="J14:J25" si="8">ABS((F14-F13)/F14)</f>
        <v>1.1181001283697047</v>
      </c>
    </row>
    <row r="15" spans="2:10" x14ac:dyDescent="0.25">
      <c r="B15" s="14">
        <v>3</v>
      </c>
      <c r="C15" s="15">
        <f t="shared" si="1"/>
        <v>0.9326363636363636</v>
      </c>
      <c r="D15" s="15">
        <f t="shared" si="2"/>
        <v>2.0533057851239671</v>
      </c>
      <c r="E15" s="15">
        <f t="shared" si="3"/>
        <v>-1.0493409090909092</v>
      </c>
      <c r="F15" s="15">
        <f t="shared" si="4"/>
        <v>1.1308806818181818</v>
      </c>
      <c r="G15" s="18">
        <f t="shared" si="5"/>
        <v>0.12291646359294292</v>
      </c>
      <c r="H15" s="18">
        <f t="shared" si="6"/>
        <v>0.16431877641376547</v>
      </c>
      <c r="I15" s="18">
        <f t="shared" si="7"/>
        <v>0.23263520391587814</v>
      </c>
      <c r="J15" s="19">
        <f t="shared" si="8"/>
        <v>0.2172231014645665</v>
      </c>
    </row>
    <row r="16" spans="2:10" x14ac:dyDescent="0.25">
      <c r="B16" s="14">
        <v>4</v>
      </c>
      <c r="C16" s="15">
        <f t="shared" si="1"/>
        <v>1.0151987603305785</v>
      </c>
      <c r="D16" s="15">
        <f t="shared" si="2"/>
        <v>1.9536957644628101</v>
      </c>
      <c r="E16" s="15">
        <f t="shared" si="3"/>
        <v>-0.9681086260330577</v>
      </c>
      <c r="F16" s="15">
        <f t="shared" si="4"/>
        <v>0.97384271694214875</v>
      </c>
      <c r="G16" s="18">
        <f t="shared" si="5"/>
        <v>8.1326337186749725E-2</v>
      </c>
      <c r="H16" s="18">
        <f t="shared" si="6"/>
        <v>5.0985431034368776E-2</v>
      </c>
      <c r="I16" s="18">
        <f t="shared" si="7"/>
        <v>8.3908231858970797E-2</v>
      </c>
      <c r="J16" s="19">
        <f t="shared" si="8"/>
        <v>0.16125598327533822</v>
      </c>
    </row>
    <row r="17" spans="2:10" x14ac:dyDescent="0.25">
      <c r="B17" s="14">
        <v>5</v>
      </c>
      <c r="C17" s="15">
        <f t="shared" si="1"/>
        <v>0.98899130165289262</v>
      </c>
      <c r="D17" s="15">
        <f t="shared" si="2"/>
        <v>2.0114147257700976</v>
      </c>
      <c r="E17" s="15">
        <f t="shared" si="3"/>
        <v>-1.0102859039256198</v>
      </c>
      <c r="F17" s="15">
        <f t="shared" si="4"/>
        <v>1.0213505100723141</v>
      </c>
      <c r="G17" s="18">
        <f t="shared" si="5"/>
        <v>2.6499180158496467E-2</v>
      </c>
      <c r="H17" s="18">
        <f t="shared" si="6"/>
        <v>2.8695703858481494E-2</v>
      </c>
      <c r="I17" s="18">
        <f t="shared" si="7"/>
        <v>4.1747863380728022E-2</v>
      </c>
      <c r="J17" s="19">
        <f t="shared" si="8"/>
        <v>4.651468096569681E-2</v>
      </c>
    </row>
    <row r="18" spans="2:10" x14ac:dyDescent="0.25">
      <c r="B18" s="14">
        <v>6</v>
      </c>
      <c r="C18" s="15">
        <f t="shared" si="1"/>
        <v>1.003198653362134</v>
      </c>
      <c r="D18" s="15">
        <f t="shared" si="2"/>
        <v>1.9922412606827571</v>
      </c>
      <c r="E18" s="15">
        <f t="shared" si="3"/>
        <v>-0.99452173674633748</v>
      </c>
      <c r="F18" s="15">
        <f t="shared" si="4"/>
        <v>0.99443373984551098</v>
      </c>
      <c r="G18" s="18">
        <f t="shared" si="5"/>
        <v>1.4162052213314531E-2</v>
      </c>
      <c r="H18" s="18">
        <f t="shared" si="6"/>
        <v>9.6240678605208803E-3</v>
      </c>
      <c r="I18" s="18">
        <f t="shared" si="7"/>
        <v>1.585100314735817E-2</v>
      </c>
      <c r="J18" s="19">
        <f t="shared" si="8"/>
        <v>2.7067434609554568E-2</v>
      </c>
    </row>
    <row r="19" spans="2:10" x14ac:dyDescent="0.25">
      <c r="B19" s="14">
        <v>7</v>
      </c>
      <c r="C19" s="15">
        <f t="shared" si="1"/>
        <v>0.99812847341754318</v>
      </c>
      <c r="D19" s="15">
        <f t="shared" si="2"/>
        <v>2.0023068815526606</v>
      </c>
      <c r="E19" s="15">
        <f t="shared" si="3"/>
        <v>-1.0019722306195997</v>
      </c>
      <c r="F19" s="15">
        <f t="shared" si="4"/>
        <v>1.0035943101506739</v>
      </c>
      <c r="G19" s="18">
        <f t="shared" si="5"/>
        <v>5.0796867133053062E-3</v>
      </c>
      <c r="H19" s="18">
        <f t="shared" si="6"/>
        <v>5.0270120742422044E-3</v>
      </c>
      <c r="I19" s="18">
        <f t="shared" si="7"/>
        <v>7.4358287042097021E-3</v>
      </c>
      <c r="J19" s="19">
        <f t="shared" si="8"/>
        <v>9.1277622964877243E-3</v>
      </c>
    </row>
    <row r="20" spans="2:10" x14ac:dyDescent="0.25">
      <c r="B20" s="14">
        <v>8</v>
      </c>
      <c r="C20" s="15">
        <f t="shared" si="1"/>
        <v>1.0006251342791859</v>
      </c>
      <c r="D20" s="15">
        <f t="shared" si="2"/>
        <v>1.9986703011223563</v>
      </c>
      <c r="E20" s="15">
        <f t="shared" si="3"/>
        <v>-0.99903557551317501</v>
      </c>
      <c r="F20" s="15">
        <f t="shared" si="4"/>
        <v>0.99888839059030232</v>
      </c>
      <c r="G20" s="18">
        <f t="shared" si="5"/>
        <v>2.4951010884222786E-3</v>
      </c>
      <c r="H20" s="18">
        <f t="shared" si="6"/>
        <v>1.8194999086453177E-3</v>
      </c>
      <c r="I20" s="18">
        <f t="shared" si="7"/>
        <v>2.9394900225812679E-3</v>
      </c>
      <c r="J20" s="19">
        <f t="shared" si="8"/>
        <v>4.7111565262967755E-3</v>
      </c>
    </row>
    <row r="21" spans="2:10" x14ac:dyDescent="0.25">
      <c r="B21" s="8">
        <v>9</v>
      </c>
      <c r="C21" s="6">
        <f t="shared" si="1"/>
        <v>0.99967414521487064</v>
      </c>
      <c r="D21" s="6">
        <f t="shared" si="2"/>
        <v>2.0004476715450092</v>
      </c>
      <c r="E21" s="6">
        <f t="shared" si="3"/>
        <v>-1.0003691576845715</v>
      </c>
      <c r="F21" s="6">
        <f t="shared" si="4"/>
        <v>1.0006191901399695</v>
      </c>
      <c r="G21" s="7">
        <f t="shared" si="5"/>
        <v>9.5129904966265459E-4</v>
      </c>
      <c r="H21" s="7">
        <f t="shared" si="6"/>
        <v>8.8848633630101077E-4</v>
      </c>
      <c r="I21" s="7">
        <f t="shared" si="7"/>
        <v>1.3330900509599148E-3</v>
      </c>
      <c r="J21" s="9">
        <f t="shared" si="8"/>
        <v>1.7297285188234708E-3</v>
      </c>
    </row>
    <row r="22" spans="2:10" x14ac:dyDescent="0.25">
      <c r="B22" s="8">
        <v>10</v>
      </c>
      <c r="C22" s="6">
        <f t="shared" si="1"/>
        <v>1.0001185986914152</v>
      </c>
      <c r="D22" s="6">
        <f t="shared" si="2"/>
        <v>1.9997679470100358</v>
      </c>
      <c r="E22" s="6">
        <f t="shared" si="3"/>
        <v>-0.9998281428744763</v>
      </c>
      <c r="F22" s="6">
        <f t="shared" si="4"/>
        <v>0.99978597846005013</v>
      </c>
      <c r="G22" s="7">
        <f t="shared" si="5"/>
        <v>4.4440077119460981E-4</v>
      </c>
      <c r="H22" s="7">
        <f t="shared" si="6"/>
        <v>3.399017050902036E-4</v>
      </c>
      <c r="I22" s="7">
        <f t="shared" si="7"/>
        <v>5.4110780332684209E-4</v>
      </c>
      <c r="J22" s="9">
        <f t="shared" si="8"/>
        <v>8.3339004333979794E-4</v>
      </c>
    </row>
    <row r="23" spans="2:10" x14ac:dyDescent="0.25">
      <c r="B23" s="8">
        <v>11</v>
      </c>
      <c r="C23" s="6">
        <f t="shared" si="1"/>
        <v>0.99994242327589888</v>
      </c>
      <c r="D23" s="6">
        <f t="shared" si="2"/>
        <v>2.0000847745851624</v>
      </c>
      <c r="E23" s="6">
        <f t="shared" si="3"/>
        <v>-1.0000683271912745</v>
      </c>
      <c r="F23" s="6">
        <f t="shared" si="4"/>
        <v>1.0001085020119271</v>
      </c>
      <c r="G23" s="7">
        <f t="shared" si="5"/>
        <v>1.7618555970365035E-4</v>
      </c>
      <c r="H23" s="7">
        <f t="shared" si="6"/>
        <v>1.5840707311636114E-4</v>
      </c>
      <c r="I23" s="7">
        <f t="shared" si="7"/>
        <v>2.4016790679966954E-4</v>
      </c>
      <c r="J23" s="9">
        <f t="shared" si="8"/>
        <v>3.2248856121929175E-4</v>
      </c>
    </row>
    <row r="24" spans="2:10" x14ac:dyDescent="0.25">
      <c r="B24" s="8">
        <v>12</v>
      </c>
      <c r="C24" s="6">
        <f t="shared" si="1"/>
        <v>1.000022142896771</v>
      </c>
      <c r="D24" s="6">
        <f t="shared" si="2"/>
        <v>1.9999589627317129</v>
      </c>
      <c r="E24" s="6">
        <f t="shared" si="3"/>
        <v>-0.99996915699547095</v>
      </c>
      <c r="F24" s="6">
        <f t="shared" si="4"/>
        <v>0.99995966863165464</v>
      </c>
      <c r="G24" s="7">
        <f t="shared" si="5"/>
        <v>7.9717855687915797E-5</v>
      </c>
      <c r="H24" s="7">
        <f t="shared" si="6"/>
        <v>6.2907217494935242E-5</v>
      </c>
      <c r="I24" s="7">
        <f t="shared" si="7"/>
        <v>9.9173254604662759E-5</v>
      </c>
      <c r="J24" s="9">
        <f t="shared" si="8"/>
        <v>1.4883938316848192E-4</v>
      </c>
    </row>
    <row r="25" spans="2:10" ht="15.75" thickBot="1" x14ac:dyDescent="0.3">
      <c r="B25" s="10">
        <v>13</v>
      </c>
      <c r="C25" s="11">
        <f t="shared" si="1"/>
        <v>0.99998972767226546</v>
      </c>
      <c r="D25" s="11">
        <f t="shared" si="2"/>
        <v>2.0000158163642121</v>
      </c>
      <c r="E25" s="11">
        <f t="shared" si="3"/>
        <v>-1.0000125654430174</v>
      </c>
      <c r="F25" s="11">
        <f t="shared" si="4"/>
        <v>1.0000192443511737</v>
      </c>
      <c r="G25" s="12">
        <f t="shared" si="5"/>
        <v>3.2415557488818869E-5</v>
      </c>
      <c r="H25" s="12">
        <f t="shared" si="6"/>
        <v>2.8426591446931939E-5</v>
      </c>
      <c r="I25" s="12">
        <f t="shared" si="7"/>
        <v>4.3407902106946455E-5</v>
      </c>
      <c r="J25" s="13">
        <f t="shared" si="8"/>
        <v>5.9574573045084647E-5</v>
      </c>
    </row>
    <row r="26" spans="2:10" ht="15.75" thickBot="1" x14ac:dyDescent="0.3"/>
    <row r="27" spans="2:10" x14ac:dyDescent="0.25">
      <c r="B27" s="44" t="s">
        <v>16</v>
      </c>
      <c r="C27" s="45"/>
      <c r="D27" s="45"/>
      <c r="E27" s="45"/>
      <c r="F27" s="45"/>
      <c r="G27" s="45"/>
      <c r="H27" s="45"/>
      <c r="I27" s="45"/>
      <c r="J27" s="46"/>
    </row>
    <row r="28" spans="2:10" x14ac:dyDescent="0.25">
      <c r="B28" s="29" t="s">
        <v>6</v>
      </c>
      <c r="C28" s="30" t="s">
        <v>11</v>
      </c>
      <c r="D28" s="30"/>
      <c r="E28" s="30"/>
      <c r="F28" s="30"/>
      <c r="G28" s="30" t="s">
        <v>13</v>
      </c>
      <c r="H28" s="30"/>
      <c r="I28" s="30"/>
      <c r="J28" s="31"/>
    </row>
    <row r="29" spans="2:10" x14ac:dyDescent="0.25">
      <c r="B29" s="32"/>
      <c r="C29" s="33" t="s">
        <v>7</v>
      </c>
      <c r="D29" s="33" t="s">
        <v>8</v>
      </c>
      <c r="E29" s="33" t="s">
        <v>9</v>
      </c>
      <c r="F29" s="33" t="s">
        <v>10</v>
      </c>
      <c r="G29" s="33" t="s">
        <v>7</v>
      </c>
      <c r="H29" s="33" t="s">
        <v>8</v>
      </c>
      <c r="I29" s="33" t="s">
        <v>9</v>
      </c>
      <c r="J29" s="34" t="s">
        <v>10</v>
      </c>
    </row>
    <row r="30" spans="2:10" x14ac:dyDescent="0.25">
      <c r="B30" s="35">
        <v>0</v>
      </c>
      <c r="C30" s="36">
        <v>0</v>
      </c>
      <c r="D30" s="36">
        <v>0</v>
      </c>
      <c r="E30" s="36">
        <v>0</v>
      </c>
      <c r="F30" s="36">
        <v>0</v>
      </c>
      <c r="G30" s="37"/>
      <c r="H30" s="37"/>
      <c r="I30" s="37"/>
      <c r="J30" s="38"/>
    </row>
    <row r="31" spans="2:10" x14ac:dyDescent="0.25">
      <c r="B31" s="35">
        <v>1</v>
      </c>
      <c r="C31" s="36">
        <f>(6+D30-2*E30)/10</f>
        <v>0.6</v>
      </c>
      <c r="D31" s="36">
        <f>(25+C31+E30-3*F30)/11</f>
        <v>2.3272727272727276</v>
      </c>
      <c r="E31" s="36">
        <f>(-11-2*C31+D31+F30)/10</f>
        <v>-0.98727272727272708</v>
      </c>
      <c r="F31" s="36">
        <f>(15-3*D31+E31)/8</f>
        <v>0.87886363636363629</v>
      </c>
      <c r="G31" s="39">
        <f>ABS((C31-C30)/C31)</f>
        <v>1</v>
      </c>
      <c r="H31" s="39">
        <f>ABS((D31-D30)/D31)</f>
        <v>1</v>
      </c>
      <c r="I31" s="39">
        <f t="shared" ref="I31" si="9">ABS((E31-E30)/E31)</f>
        <v>1</v>
      </c>
      <c r="J31" s="40">
        <f t="shared" ref="J31" si="10">ABS((F31-F30)/F31)</f>
        <v>1</v>
      </c>
    </row>
    <row r="32" spans="2:10" x14ac:dyDescent="0.25">
      <c r="B32" s="35">
        <v>2</v>
      </c>
      <c r="C32" s="36">
        <f t="shared" ref="C32:C43" si="11">(6+D31-2*E31)/10</f>
        <v>1.0301818181818183</v>
      </c>
      <c r="D32" s="36">
        <f t="shared" ref="D32:D43" si="12">(25+C32+E31-3*F31)/11</f>
        <v>2.0369380165289255</v>
      </c>
      <c r="E32" s="36">
        <f t="shared" ref="E32:E43" si="13">(-11-2*C32+D32+F31)/10</f>
        <v>-1.0144561983471074</v>
      </c>
      <c r="F32" s="36">
        <f t="shared" ref="F32:F43" si="14">(15-3*D32+E32)/8</f>
        <v>0.98434121900826443</v>
      </c>
      <c r="G32" s="39">
        <f t="shared" ref="G32:G43" si="15">ABS((C32-C31)/C32)</f>
        <v>0.41757853865160616</v>
      </c>
      <c r="H32" s="39">
        <f t="shared" ref="H32:H43" si="16">ABS((D32-D31)/D32)</f>
        <v>0.14253487754062899</v>
      </c>
      <c r="I32" s="39">
        <f t="shared" ref="I32:I43" si="17">ABS((E32-E31)/E32)</f>
        <v>2.6796101318786781E-2</v>
      </c>
      <c r="J32" s="40">
        <f t="shared" ref="J32:J43" si="18">ABS((F32-F31)/F32)</f>
        <v>0.1071555072649483</v>
      </c>
    </row>
    <row r="33" spans="2:10" x14ac:dyDescent="0.25">
      <c r="B33" s="35">
        <v>3</v>
      </c>
      <c r="C33" s="36">
        <f t="shared" si="11"/>
        <v>1.0065850413223141</v>
      </c>
      <c r="D33" s="36">
        <f t="shared" si="12"/>
        <v>2.003555016904583</v>
      </c>
      <c r="E33" s="36">
        <f t="shared" si="13"/>
        <v>-1.0025273846731779</v>
      </c>
      <c r="F33" s="36">
        <f t="shared" si="14"/>
        <v>0.99835094557663417</v>
      </c>
      <c r="G33" s="39">
        <f t="shared" si="15"/>
        <v>2.3442407636523194E-2</v>
      </c>
      <c r="H33" s="39">
        <f t="shared" si="16"/>
        <v>1.6661883173998342E-2</v>
      </c>
      <c r="I33" s="39">
        <f t="shared" si="17"/>
        <v>1.1898740978350707E-2</v>
      </c>
      <c r="J33" s="40">
        <f t="shared" si="18"/>
        <v>1.4032867530643655E-2</v>
      </c>
    </row>
    <row r="34" spans="2:10" x14ac:dyDescent="0.25">
      <c r="B34" s="35">
        <v>4</v>
      </c>
      <c r="C34" s="36">
        <f t="shared" si="11"/>
        <v>1.0008609786250939</v>
      </c>
      <c r="D34" s="36">
        <f t="shared" si="12"/>
        <v>2.000298250656547</v>
      </c>
      <c r="E34" s="36">
        <f t="shared" si="13"/>
        <v>-1.0003072761017007</v>
      </c>
      <c r="F34" s="36">
        <f t="shared" si="14"/>
        <v>0.99984974649108227</v>
      </c>
      <c r="G34" s="39">
        <f t="shared" si="15"/>
        <v>5.7191386410962121E-3</v>
      </c>
      <c r="H34" s="39">
        <f t="shared" si="16"/>
        <v>1.6281403270572814E-3</v>
      </c>
      <c r="I34" s="39">
        <f t="shared" si="17"/>
        <v>2.2194265947252149E-3</v>
      </c>
      <c r="J34" s="40">
        <f t="shared" si="18"/>
        <v>1.4990261483868498E-3</v>
      </c>
    </row>
    <row r="35" spans="2:10" x14ac:dyDescent="0.25">
      <c r="B35" s="35">
        <v>5</v>
      </c>
      <c r="C35" s="36">
        <f t="shared" si="11"/>
        <v>1.0000912802859949</v>
      </c>
      <c r="D35" s="36">
        <f t="shared" si="12"/>
        <v>2.000021342246459</v>
      </c>
      <c r="E35" s="36">
        <f t="shared" si="13"/>
        <v>-1.0000311471834449</v>
      </c>
      <c r="F35" s="36">
        <f t="shared" si="14"/>
        <v>0.99998810325964727</v>
      </c>
      <c r="G35" s="39">
        <f t="shared" si="15"/>
        <v>7.6962808722710017E-4</v>
      </c>
      <c r="H35" s="39">
        <f t="shared" si="16"/>
        <v>1.3845272759787421E-4</v>
      </c>
      <c r="I35" s="39">
        <f t="shared" si="17"/>
        <v>2.7612031788559727E-4</v>
      </c>
      <c r="J35" s="40">
        <f t="shared" si="18"/>
        <v>1.3835841457912943E-4</v>
      </c>
    </row>
    <row r="36" spans="2:10" x14ac:dyDescent="0.25">
      <c r="B36" s="8">
        <v>6</v>
      </c>
      <c r="C36" s="6">
        <f t="shared" si="11"/>
        <v>1.0000083636613348</v>
      </c>
      <c r="D36" s="6">
        <f t="shared" si="12"/>
        <v>2.0000011733362677</v>
      </c>
      <c r="E36" s="6">
        <f t="shared" si="13"/>
        <v>-1.0000027450726754</v>
      </c>
      <c r="F36" s="6">
        <f t="shared" si="14"/>
        <v>0.99999921686481508</v>
      </c>
      <c r="G36" s="7">
        <f t="shared" si="15"/>
        <v>8.2915931179322223E-5</v>
      </c>
      <c r="H36" s="7">
        <f t="shared" si="16"/>
        <v>1.0084449179424167E-5</v>
      </c>
      <c r="I36" s="7">
        <f t="shared" si="17"/>
        <v>2.8402032803843446E-5</v>
      </c>
      <c r="J36" s="9">
        <f t="shared" si="18"/>
        <v>1.1113613871273845E-5</v>
      </c>
    </row>
    <row r="37" spans="2:10" x14ac:dyDescent="0.25">
      <c r="B37" s="8">
        <v>7</v>
      </c>
      <c r="C37" s="6">
        <f t="shared" si="11"/>
        <v>1.0000006663481618</v>
      </c>
      <c r="D37" s="6">
        <f t="shared" si="12"/>
        <v>2.0000000246073673</v>
      </c>
      <c r="E37" s="6">
        <f t="shared" si="13"/>
        <v>-1.0000002091224141</v>
      </c>
      <c r="F37" s="6">
        <f t="shared" si="14"/>
        <v>0.99999996463193552</v>
      </c>
      <c r="G37" s="7">
        <f t="shared" si="15"/>
        <v>7.6973080439846966E-6</v>
      </c>
      <c r="H37" s="7">
        <f t="shared" si="16"/>
        <v>5.7436444315638752E-7</v>
      </c>
      <c r="I37" s="7">
        <f t="shared" si="17"/>
        <v>2.5359497310158626E-6</v>
      </c>
      <c r="J37" s="9">
        <f t="shared" si="18"/>
        <v>7.4776714689296246E-7</v>
      </c>
    </row>
    <row r="38" spans="2:10" x14ac:dyDescent="0.25">
      <c r="B38" s="8">
        <v>8</v>
      </c>
      <c r="C38" s="6">
        <f t="shared" si="11"/>
        <v>1.0000000442852195</v>
      </c>
      <c r="D38" s="6">
        <f t="shared" si="12"/>
        <v>1.9999999946606359</v>
      </c>
      <c r="E38" s="6">
        <f t="shared" si="13"/>
        <v>-1.0000000129277866</v>
      </c>
      <c r="F38" s="6">
        <f t="shared" si="14"/>
        <v>1.0000000003862881</v>
      </c>
      <c r="G38" s="7">
        <f t="shared" si="15"/>
        <v>6.2206291471999398E-7</v>
      </c>
      <c r="H38" s="7">
        <f t="shared" si="16"/>
        <v>1.4973365698451303E-8</v>
      </c>
      <c r="I38" s="7">
        <f t="shared" si="17"/>
        <v>1.9619462489678163E-7</v>
      </c>
      <c r="J38" s="9">
        <f t="shared" si="18"/>
        <v>3.5754352575922659E-8</v>
      </c>
    </row>
    <row r="39" spans="2:10" x14ac:dyDescent="0.25">
      <c r="B39" s="8">
        <v>9</v>
      </c>
      <c r="C39" s="6">
        <f t="shared" si="11"/>
        <v>1.0000000020516209</v>
      </c>
      <c r="D39" s="6">
        <f t="shared" si="12"/>
        <v>1.9999999989059065</v>
      </c>
      <c r="E39" s="6">
        <f t="shared" si="13"/>
        <v>-1.0000000004811047</v>
      </c>
      <c r="F39" s="6">
        <f t="shared" si="14"/>
        <v>1.000000000350147</v>
      </c>
      <c r="G39" s="7">
        <f t="shared" si="15"/>
        <v>4.2233598531676874E-8</v>
      </c>
      <c r="H39" s="7">
        <f t="shared" si="16"/>
        <v>2.1226352909197152E-9</v>
      </c>
      <c r="I39" s="7">
        <f t="shared" si="17"/>
        <v>1.2446681901375042E-8</v>
      </c>
      <c r="J39" s="9">
        <f t="shared" si="18"/>
        <v>3.6141090107968027E-11</v>
      </c>
    </row>
    <row r="40" spans="2:10" x14ac:dyDescent="0.25">
      <c r="B40" s="8">
        <v>10</v>
      </c>
      <c r="C40" s="6">
        <f t="shared" si="11"/>
        <v>0.99999999998681166</v>
      </c>
      <c r="D40" s="6">
        <f t="shared" si="12"/>
        <v>1.9999999998595697</v>
      </c>
      <c r="E40" s="6">
        <f t="shared" si="13"/>
        <v>-0.99999999997639066</v>
      </c>
      <c r="F40" s="6">
        <f t="shared" si="14"/>
        <v>1.0000000000556126</v>
      </c>
      <c r="G40" s="7">
        <f t="shared" si="15"/>
        <v>2.0648092125258618E-9</v>
      </c>
      <c r="H40" s="7">
        <f t="shared" si="16"/>
        <v>4.768315742588812E-10</v>
      </c>
      <c r="I40" s="7">
        <f t="shared" si="17"/>
        <v>5.0471404834465986E-10</v>
      </c>
      <c r="J40" s="9">
        <f t="shared" si="18"/>
        <v>2.9453439685550182E-10</v>
      </c>
    </row>
    <row r="41" spans="2:10" x14ac:dyDescent="0.25">
      <c r="B41" s="8">
        <v>11</v>
      </c>
      <c r="C41" s="6">
        <f t="shared" si="11"/>
        <v>0.99999999998123512</v>
      </c>
      <c r="D41" s="6">
        <f t="shared" si="12"/>
        <v>1.9999999999852731</v>
      </c>
      <c r="E41" s="6">
        <f t="shared" si="13"/>
        <v>-0.99999999999215861</v>
      </c>
      <c r="F41" s="6">
        <f t="shared" si="14"/>
        <v>1.0000000000065028</v>
      </c>
      <c r="G41" s="7">
        <f t="shared" si="15"/>
        <v>5.576539230494342E-12</v>
      </c>
      <c r="H41" s="7">
        <f t="shared" si="16"/>
        <v>6.2851723825937245E-11</v>
      </c>
      <c r="I41" s="7">
        <f t="shared" si="17"/>
        <v>1.576794250736243E-11</v>
      </c>
      <c r="J41" s="9">
        <f t="shared" si="18"/>
        <v>4.910982731555475E-11</v>
      </c>
    </row>
    <row r="42" spans="2:10" x14ac:dyDescent="0.25">
      <c r="B42" s="8">
        <v>12</v>
      </c>
      <c r="C42" s="6">
        <f t="shared" si="11"/>
        <v>0.9999999999969591</v>
      </c>
      <c r="D42" s="6">
        <f t="shared" si="12"/>
        <v>1.9999999999986628</v>
      </c>
      <c r="E42" s="6">
        <f t="shared" si="13"/>
        <v>-0.99999999999887523</v>
      </c>
      <c r="F42" s="6">
        <f t="shared" si="14"/>
        <v>1.0000000000006419</v>
      </c>
      <c r="G42" s="7">
        <f t="shared" si="15"/>
        <v>1.5723977675511444E-11</v>
      </c>
      <c r="H42" s="7">
        <f t="shared" si="16"/>
        <v>6.694866883099095E-12</v>
      </c>
      <c r="I42" s="7">
        <f t="shared" si="17"/>
        <v>6.7166272543848265E-12</v>
      </c>
      <c r="J42" s="9">
        <f t="shared" si="18"/>
        <v>5.8608673469924395E-12</v>
      </c>
    </row>
    <row r="43" spans="2:10" ht="15.75" thickBot="1" x14ac:dyDescent="0.3">
      <c r="B43" s="10">
        <v>13</v>
      </c>
      <c r="C43" s="11">
        <f t="shared" si="11"/>
        <v>0.9999999999996414</v>
      </c>
      <c r="D43" s="11">
        <f t="shared" si="12"/>
        <v>1.9999999999998948</v>
      </c>
      <c r="E43" s="11">
        <f t="shared" si="13"/>
        <v>-0.99999999999987454</v>
      </c>
      <c r="F43" s="11">
        <f t="shared" si="14"/>
        <v>1.0000000000000553</v>
      </c>
      <c r="G43" s="12">
        <f t="shared" si="15"/>
        <v>2.6822988274953399E-12</v>
      </c>
      <c r="H43" s="12">
        <f t="shared" si="16"/>
        <v>6.1595173406206926E-13</v>
      </c>
      <c r="I43" s="12">
        <f t="shared" si="17"/>
        <v>9.9931174446522881E-13</v>
      </c>
      <c r="J43" s="13">
        <f t="shared" si="18"/>
        <v>5.866418462119003E-13</v>
      </c>
    </row>
    <row r="45" spans="2:10" x14ac:dyDescent="0.25">
      <c r="B45" s="4" t="s">
        <v>20</v>
      </c>
      <c r="C45" s="4"/>
      <c r="D45" s="4"/>
      <c r="E45" s="4"/>
      <c r="F45" s="5" t="s">
        <v>23</v>
      </c>
      <c r="G45" s="3"/>
      <c r="H45" s="3"/>
      <c r="I45" s="3"/>
      <c r="J45" s="3"/>
    </row>
    <row r="46" spans="2:10" x14ac:dyDescent="0.25">
      <c r="B46" s="4" t="s">
        <v>21</v>
      </c>
      <c r="C46" s="4"/>
      <c r="D46" s="4"/>
      <c r="E46" s="4"/>
      <c r="F46" s="5"/>
      <c r="G46" s="41" t="s">
        <v>24</v>
      </c>
      <c r="H46" s="3">
        <v>1.25</v>
      </c>
      <c r="I46" s="3"/>
      <c r="J46" s="3"/>
    </row>
    <row r="47" spans="2:10" x14ac:dyDescent="0.25">
      <c r="B47" s="4" t="s">
        <v>22</v>
      </c>
      <c r="C47" s="4"/>
      <c r="D47" s="4"/>
      <c r="E47" s="4"/>
      <c r="F47" s="5"/>
      <c r="G47" s="3"/>
      <c r="H47" s="3"/>
      <c r="I47" s="3"/>
      <c r="J47" s="3"/>
    </row>
    <row r="48" spans="2:10" ht="15.75" thickBot="1" x14ac:dyDescent="0.3"/>
    <row r="49" spans="2:10" x14ac:dyDescent="0.25">
      <c r="B49" s="47" t="s">
        <v>19</v>
      </c>
      <c r="C49" s="48"/>
      <c r="D49" s="48"/>
      <c r="E49" s="48"/>
      <c r="F49" s="48"/>
      <c r="G49" s="48"/>
      <c r="H49" s="48"/>
      <c r="I49" s="48"/>
      <c r="J49" s="49"/>
    </row>
    <row r="50" spans="2:10" x14ac:dyDescent="0.25">
      <c r="B50" s="50" t="s">
        <v>6</v>
      </c>
      <c r="C50" s="51" t="s">
        <v>11</v>
      </c>
      <c r="D50" s="51"/>
      <c r="E50" s="51"/>
      <c r="F50" s="51"/>
      <c r="G50" s="51" t="s">
        <v>13</v>
      </c>
      <c r="H50" s="51"/>
      <c r="I50" s="51"/>
      <c r="J50" s="52"/>
    </row>
    <row r="51" spans="2:10" x14ac:dyDescent="0.25">
      <c r="B51" s="53"/>
      <c r="C51" s="54" t="s">
        <v>7</v>
      </c>
      <c r="D51" s="54" t="s">
        <v>8</v>
      </c>
      <c r="E51" s="54" t="s">
        <v>9</v>
      </c>
      <c r="F51" s="54"/>
      <c r="G51" s="54" t="s">
        <v>7</v>
      </c>
      <c r="H51" s="54" t="s">
        <v>8</v>
      </c>
      <c r="I51" s="54" t="s">
        <v>9</v>
      </c>
      <c r="J51" s="55" t="s">
        <v>10</v>
      </c>
    </row>
    <row r="52" spans="2:10" x14ac:dyDescent="0.25">
      <c r="B52" s="56">
        <v>0</v>
      </c>
      <c r="C52" s="57">
        <v>0</v>
      </c>
      <c r="D52" s="57">
        <v>0</v>
      </c>
      <c r="E52" s="57">
        <v>0</v>
      </c>
      <c r="F52" s="57"/>
      <c r="G52" s="58"/>
      <c r="H52" s="58"/>
      <c r="I52" s="58"/>
      <c r="J52" s="59"/>
    </row>
    <row r="53" spans="2:10" x14ac:dyDescent="0.25">
      <c r="B53" s="56">
        <v>1</v>
      </c>
      <c r="C53" s="57">
        <f>(1-$H$46)*C52+($H$46/4)*(24-3*D52)</f>
        <v>7.5</v>
      </c>
      <c r="D53" s="57">
        <f>(1-$H$46)*D52+($H$46/4)*(30-3*C53+E52)</f>
        <v>2.34375</v>
      </c>
      <c r="E53" s="57">
        <f>(1-$H$46)*E52+($H$46/4)*(-24+D53)</f>
        <v>-6.767578125</v>
      </c>
      <c r="F53" s="57"/>
      <c r="G53" s="60">
        <f>ABS((C53-C52)/C53)</f>
        <v>1</v>
      </c>
      <c r="H53" s="60">
        <f t="shared" ref="H53:I53" si="19">ABS((D53-D52)/D53)</f>
        <v>1</v>
      </c>
      <c r="I53" s="60">
        <f t="shared" si="19"/>
        <v>1</v>
      </c>
      <c r="J53" s="61"/>
    </row>
    <row r="54" spans="2:10" x14ac:dyDescent="0.25">
      <c r="B54" s="56">
        <v>2</v>
      </c>
      <c r="C54" s="57">
        <f t="shared" ref="C54:C60" si="20">(1-$H$46)*C53+($H$46/4)*(24-3*D53)</f>
        <v>3.427734375</v>
      </c>
      <c r="D54" s="57">
        <f t="shared" ref="D54:D60" si="21">(1-$H$46)*D53+($H$46/4)*(30-3*C54+E53)</f>
        <v>3.460693359375</v>
      </c>
      <c r="E54" s="57">
        <f t="shared" ref="E54:E60" si="22">(1-$H$46)*E53+($H$46/4)*(-24+D54)</f>
        <v>-4.7266387939453125</v>
      </c>
      <c r="F54" s="57"/>
      <c r="G54" s="60">
        <f t="shared" ref="G54:G60" si="23">ABS((C54-C53)/C54)</f>
        <v>1.188034188034188</v>
      </c>
      <c r="H54" s="60">
        <f t="shared" ref="H54:H61" si="24">ABS((D54-D53)/D54)</f>
        <v>0.32275132275132273</v>
      </c>
      <c r="I54" s="60">
        <f t="shared" ref="I54:I61" si="25">ABS((E54-E53)/E54)</f>
        <v>0.43179507045663651</v>
      </c>
      <c r="J54" s="61"/>
    </row>
    <row r="55" spans="2:10" x14ac:dyDescent="0.25">
      <c r="B55" s="56">
        <v>3</v>
      </c>
      <c r="C55" s="57">
        <f t="shared" si="20"/>
        <v>3.3986663818359375</v>
      </c>
      <c r="D55" s="57">
        <f t="shared" si="21"/>
        <v>3.8465023040771484</v>
      </c>
      <c r="E55" s="57">
        <f t="shared" si="22"/>
        <v>-5.116308331489563</v>
      </c>
      <c r="F55" s="57"/>
      <c r="G55" s="60">
        <f t="shared" si="23"/>
        <v>8.5527644959256521E-3</v>
      </c>
      <c r="H55" s="60">
        <f t="shared" si="24"/>
        <v>0.10030123842463461</v>
      </c>
      <c r="I55" s="60">
        <f t="shared" si="25"/>
        <v>7.6162246740669362E-2</v>
      </c>
      <c r="J55" s="61"/>
    </row>
    <row r="56" spans="2:10" x14ac:dyDescent="0.25">
      <c r="B56" s="56">
        <v>4</v>
      </c>
      <c r="C56" s="57">
        <f t="shared" si="20"/>
        <v>3.044237494468689</v>
      </c>
      <c r="D56" s="57">
        <f t="shared" si="21"/>
        <v>3.9605554193258286</v>
      </c>
      <c r="E56" s="57">
        <f t="shared" si="22"/>
        <v>-4.9832493485882878</v>
      </c>
      <c r="F56" s="57"/>
      <c r="G56" s="60">
        <f t="shared" si="23"/>
        <v>0.11642616189152057</v>
      </c>
      <c r="H56" s="60">
        <f t="shared" si="24"/>
        <v>2.879725270151488E-2</v>
      </c>
      <c r="I56" s="60">
        <f t="shared" si="25"/>
        <v>2.6701249243923472E-2</v>
      </c>
      <c r="J56" s="61"/>
    </row>
    <row r="57" spans="2:10" x14ac:dyDescent="0.25">
      <c r="B57" s="56">
        <v>5</v>
      </c>
      <c r="C57" s="57">
        <f t="shared" si="20"/>
        <v>3.0259199207648635</v>
      </c>
      <c r="D57" s="57">
        <f t="shared" si="21"/>
        <v>3.9907957980176434</v>
      </c>
      <c r="E57" s="57">
        <f t="shared" si="22"/>
        <v>-5.0070639759724145</v>
      </c>
      <c r="F57" s="57"/>
      <c r="G57" s="60">
        <f t="shared" si="23"/>
        <v>6.0535553429964303E-3</v>
      </c>
      <c r="H57" s="60">
        <f t="shared" si="24"/>
        <v>7.5775309543114708E-3</v>
      </c>
      <c r="I57" s="60">
        <f t="shared" si="25"/>
        <v>4.7562059319407133E-3</v>
      </c>
      <c r="J57" s="61"/>
    </row>
    <row r="58" spans="2:10" x14ac:dyDescent="0.25">
      <c r="B58" s="56">
        <v>6</v>
      </c>
      <c r="C58" s="57">
        <f t="shared" si="20"/>
        <v>3.0021489591672434</v>
      </c>
      <c r="D58" s="57">
        <f t="shared" si="21"/>
        <v>3.9980789087849189</v>
      </c>
      <c r="E58" s="57">
        <f t="shared" si="22"/>
        <v>-4.9988343470116092</v>
      </c>
      <c r="F58" s="57"/>
      <c r="G58" s="60">
        <f t="shared" si="23"/>
        <v>7.9179820591626458E-3</v>
      </c>
      <c r="H58" s="60">
        <f t="shared" si="24"/>
        <v>1.8216525820119339E-3</v>
      </c>
      <c r="I58" s="60">
        <f t="shared" si="25"/>
        <v>1.6463095973014337E-3</v>
      </c>
      <c r="J58" s="61"/>
    </row>
    <row r="59" spans="2:10" x14ac:dyDescent="0.25">
      <c r="B59" s="56">
        <v>7</v>
      </c>
      <c r="C59" s="57">
        <f t="shared" si="20"/>
        <v>3.0012637832223277</v>
      </c>
      <c r="D59" s="57">
        <f t="shared" si="21"/>
        <v>3.9996597425917102</v>
      </c>
      <c r="E59" s="57">
        <f t="shared" si="22"/>
        <v>-5.0003977436871878</v>
      </c>
      <c r="F59" s="57"/>
      <c r="G59" s="60">
        <f t="shared" si="23"/>
        <v>2.9493440392146979E-4</v>
      </c>
      <c r="H59" s="60">
        <f t="shared" si="24"/>
        <v>3.9524207270865276E-4</v>
      </c>
      <c r="I59" s="60">
        <f t="shared" si="25"/>
        <v>3.1265446384786424E-4</v>
      </c>
      <c r="J59" s="61"/>
    </row>
    <row r="60" spans="2:10" x14ac:dyDescent="0.25">
      <c r="B60" s="8">
        <v>8</v>
      </c>
      <c r="C60" s="6">
        <f t="shared" si="20"/>
        <v>3.0000030455146898</v>
      </c>
      <c r="D60" s="6">
        <f t="shared" si="21"/>
        <v>3.999957914279805</v>
      </c>
      <c r="E60" s="6">
        <f t="shared" si="22"/>
        <v>-4.9999137158657643</v>
      </c>
      <c r="F60" s="6"/>
      <c r="G60" s="7">
        <f t="shared" si="23"/>
        <v>4.202454759247114E-4</v>
      </c>
      <c r="H60" s="7">
        <f t="shared" si="24"/>
        <v>7.4543706330082118E-5</v>
      </c>
      <c r="I60" s="7">
        <f t="shared" si="25"/>
        <v>9.6807234870397365E-5</v>
      </c>
      <c r="J60" s="9"/>
    </row>
    <row r="61" spans="2:10" x14ac:dyDescent="0.25">
      <c r="B61" s="8">
        <v>9</v>
      </c>
      <c r="C61" s="6">
        <f>(1-$H$46)*C60+($H$46/4)*(24-3*D60)</f>
        <v>3.0000386939840102</v>
      </c>
      <c r="D61" s="6">
        <f>(1-$H$46)*D60+($H$46/4)*(30-3*C61+E60)</f>
        <v>4.0000012096119884</v>
      </c>
      <c r="E61" s="6">
        <f>(1-$H$46)*E60+($H$46/4)*(-24+D61)</f>
        <v>-5.0000211930298128</v>
      </c>
      <c r="F61" s="6"/>
      <c r="G61" s="7">
        <f>ABS((C61-C60)/C61)</f>
        <v>1.188266984421122E-5</v>
      </c>
      <c r="H61" s="7">
        <f t="shared" si="24"/>
        <v>1.08238297726891E-5</v>
      </c>
      <c r="I61" s="7">
        <f t="shared" si="25"/>
        <v>2.1495341699431503E-5</v>
      </c>
      <c r="J61" s="9"/>
    </row>
    <row r="62" spans="2:10" x14ac:dyDescent="0.25">
      <c r="B62" s="8">
        <v>10</v>
      </c>
      <c r="C62" s="6">
        <f t="shared" ref="C62:C65" si="26">(1-$H$46)*C61+($H$46/4)*(24-3*D61)</f>
        <v>2.999989192492758</v>
      </c>
      <c r="D62" s="6">
        <f t="shared" ref="D62:D65" si="27">(1-$H$46)*D61+($H$46/4)*(30-3*C62+E61)</f>
        <v>4.0000032068132265</v>
      </c>
      <c r="E62" s="6">
        <f t="shared" ref="E62:E65" si="28">(1-$H$46)*E61+($H$46/4)*(-24+D62)</f>
        <v>-4.9999936996134133</v>
      </c>
      <c r="F62" s="6"/>
      <c r="G62" s="7">
        <f t="shared" ref="G62:G65" si="29">ABS((C62-C61)/C62)</f>
        <v>1.6500556527384203E-5</v>
      </c>
      <c r="H62" s="7">
        <f t="shared" ref="H62:H65" si="30">ABS((D62-D61)/D62)</f>
        <v>4.9929990925176172E-7</v>
      </c>
      <c r="I62" s="7">
        <f t="shared" ref="I62:I65" si="31">ABS((E62-E61)/E62)</f>
        <v>5.4986902086779123E-6</v>
      </c>
      <c r="J62" s="9"/>
    </row>
    <row r="63" spans="2:10" x14ac:dyDescent="0.25">
      <c r="B63" s="8">
        <v>11</v>
      </c>
      <c r="C63" s="6">
        <f t="shared" si="26"/>
        <v>2.9999996954894099</v>
      </c>
      <c r="D63" s="6">
        <f t="shared" si="27"/>
        <v>4.0000014526461811</v>
      </c>
      <c r="E63" s="6">
        <f t="shared" si="28"/>
        <v>-5.0000011211447148</v>
      </c>
      <c r="F63" s="6"/>
      <c r="G63" s="7">
        <f t="shared" si="29"/>
        <v>3.5009992393474414E-6</v>
      </c>
      <c r="H63" s="7">
        <f t="shared" si="30"/>
        <v>4.3854160208805209E-7</v>
      </c>
      <c r="I63" s="7">
        <f t="shared" si="31"/>
        <v>1.4843059274776994E-6</v>
      </c>
      <c r="J63" s="9"/>
    </row>
    <row r="64" spans="2:10" x14ac:dyDescent="0.25">
      <c r="B64" s="8">
        <v>12</v>
      </c>
      <c r="C64" s="6">
        <f t="shared" si="26"/>
        <v>2.9999987142718529</v>
      </c>
      <c r="D64" s="6">
        <f t="shared" si="27"/>
        <v>4.0000004918508694</v>
      </c>
      <c r="E64" s="6">
        <f t="shared" si="28"/>
        <v>-4.9999995660104251</v>
      </c>
      <c r="F64" s="6"/>
      <c r="G64" s="7">
        <f t="shared" si="29"/>
        <v>3.2707265916998738E-7</v>
      </c>
      <c r="H64" s="7">
        <f t="shared" si="30"/>
        <v>2.4019879840330095E-7</v>
      </c>
      <c r="I64" s="7">
        <f t="shared" si="31"/>
        <v>3.1102688495407099E-7</v>
      </c>
      <c r="J64" s="9"/>
    </row>
    <row r="65" spans="2:10" ht="15.75" thickBot="1" x14ac:dyDescent="0.3">
      <c r="B65" s="10">
        <v>13</v>
      </c>
      <c r="C65" s="11">
        <f t="shared" si="26"/>
        <v>2.9999998603218465</v>
      </c>
      <c r="D65" s="11">
        <f t="shared" si="27"/>
        <v>4.0000001436072932</v>
      </c>
      <c r="E65" s="11">
        <f t="shared" si="28"/>
        <v>-5.0000000636201136</v>
      </c>
      <c r="F65" s="11"/>
      <c r="G65" s="12">
        <f t="shared" si="29"/>
        <v>3.8201668231054902E-7</v>
      </c>
      <c r="H65" s="12">
        <f t="shared" si="30"/>
        <v>8.7060890923884047E-8</v>
      </c>
      <c r="I65" s="12">
        <f t="shared" si="31"/>
        <v>9.9521936446801292E-8</v>
      </c>
      <c r="J65" s="13"/>
    </row>
  </sheetData>
  <mergeCells count="26">
    <mergeCell ref="B49:J49"/>
    <mergeCell ref="B50:B51"/>
    <mergeCell ref="C50:F50"/>
    <mergeCell ref="G50:J50"/>
    <mergeCell ref="G7:J7"/>
    <mergeCell ref="B45:E45"/>
    <mergeCell ref="F45:F47"/>
    <mergeCell ref="B46:E46"/>
    <mergeCell ref="B47:E47"/>
    <mergeCell ref="B28:B29"/>
    <mergeCell ref="C28:F28"/>
    <mergeCell ref="G28:J28"/>
    <mergeCell ref="B2:J3"/>
    <mergeCell ref="B4:E4"/>
    <mergeCell ref="B5:E5"/>
    <mergeCell ref="B6:E6"/>
    <mergeCell ref="B7:E7"/>
    <mergeCell ref="G4:J4"/>
    <mergeCell ref="G5:J5"/>
    <mergeCell ref="B10:B11"/>
    <mergeCell ref="C10:F10"/>
    <mergeCell ref="G10:J10"/>
    <mergeCell ref="B9:J9"/>
    <mergeCell ref="B27:J27"/>
    <mergeCell ref="F4:F7"/>
    <mergeCell ref="G6:J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2026-10-02T06:31:59Z</dcterms:created>
  <dcterms:modified xsi:type="dcterms:W3CDTF">2026-10-02T07:47:54Z</dcterms:modified>
</cp:coreProperties>
</file>